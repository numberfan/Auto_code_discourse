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4.25编码任务/"/>
    </mc:Choice>
  </mc:AlternateContent>
  <xr:revisionPtr revIDLastSave="3" documentId="8_{05C24EE5-A652-DB40-9B1C-8CF51BC83407}" xr6:coauthVersionLast="47" xr6:coauthVersionMax="47" xr10:uidLastSave="{D93F6CB8-30FA-6846-85A1-E279A939A3DD}"/>
  <bookViews>
    <workbookView xWindow="0" yWindow="740" windowWidth="29400" windowHeight="18380" xr2:uid="{AFD2A64F-CEE9-054F-968D-58B0F589B8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 l="1"/>
  <c r="G31" i="1"/>
  <c r="H31" i="1"/>
  <c r="I31" i="1"/>
  <c r="J31" i="1"/>
  <c r="K31" i="1"/>
  <c r="L31" i="1"/>
  <c r="M31" i="1"/>
  <c r="E36" i="1"/>
  <c r="E35" i="1"/>
  <c r="E33" i="1"/>
  <c r="E32" i="1"/>
  <c r="E29" i="1"/>
  <c r="E31" i="1" s="1"/>
  <c r="E7" i="1"/>
  <c r="E9" i="1"/>
  <c r="E10" i="1"/>
  <c r="E11" i="1"/>
  <c r="E12" i="1"/>
  <c r="E14" i="1"/>
  <c r="E15" i="1"/>
  <c r="E16" i="1"/>
  <c r="E17" i="1"/>
  <c r="E18" i="1"/>
  <c r="E19" i="1"/>
  <c r="E20" i="1"/>
  <c r="E21" i="1"/>
  <c r="E22" i="1"/>
  <c r="E23" i="1"/>
  <c r="E24" i="1"/>
  <c r="E25" i="1"/>
  <c r="E26" i="1"/>
  <c r="E27" i="1"/>
  <c r="E4" i="1"/>
  <c r="E5" i="1"/>
  <c r="E6" i="1"/>
  <c r="E3" i="1"/>
</calcChain>
</file>

<file path=xl/sharedStrings.xml><?xml version="1.0" encoding="utf-8"?>
<sst xmlns="http://schemas.openxmlformats.org/spreadsheetml/2006/main" count="98" uniqueCount="81">
  <si>
    <t>Number</t>
  </si>
  <si>
    <t>Timestamp</t>
  </si>
  <si>
    <t>Speaker</t>
  </si>
  <si>
    <t>Utterance</t>
  </si>
  <si>
    <t>Teacher</t>
  </si>
  <si>
    <t>Student 1</t>
  </si>
  <si>
    <t>Student 2</t>
  </si>
  <si>
    <t>Student 4</t>
  </si>
  <si>
    <t>Student 5</t>
  </si>
  <si>
    <t>Student 6</t>
  </si>
  <si>
    <t>Student 8</t>
  </si>
  <si>
    <t>Student 10</t>
  </si>
  <si>
    <t xml:space="preserve">Or do you not know how to make decisions? </t>
  </si>
  <si>
    <t>Okay, changing schools could be an option. All right, yes. Katie, what do you guys discuss about Jade or Hannah? Your group. </t>
  </si>
  <si>
    <t>We discussed about pay or passion. </t>
  </si>
  <si>
    <t>Pay or passion, all right, yeah. The best is to have? Both. Both, right? If you do something that you're passionate about and get well paid, great, right? That's great. I mean, I think that's something that I heard Avery's group also discuss about, right? And when have you guys discussed about... </t>
  </si>
  <si>
    <t>Oh my god, is that the cost? </t>
  </si>
  <si>
    <t>Shhhh... </t>
  </si>
  <si>
    <t>Poetry. Mr. Poetry. </t>
  </si>
  <si>
    <t>This is a very famous poem called... </t>
  </si>
  <si>
    <t>Tree Grow. </t>
  </si>
  <si>
    <t>Haley, what's the title of the poem? Haley. Title of the poem. </t>
  </si>
  <si>
    <t>Corp. </t>
  </si>
  <si>
    <t>No. The... Can't read it, okay. The Road, not. </t>
  </si>
  <si>
    <t>Take it. </t>
  </si>
  <si>
    <t>Take it, okay? </t>
  </si>
  <si>
    <t>All right, goodbye class. Thank you very much. </t>
  </si>
  <si>
    <t>All right, never mind. If you guys don't want to read, I'll read it.</t>
  </si>
  <si>
    <t>Student 9</t>
  </si>
  <si>
    <t>07:24-07:46</t>
  </si>
  <si>
    <t>07:46-07:54</t>
  </si>
  <si>
    <t>07:54-07:58</t>
  </si>
  <si>
    <t>07:58-08:14</t>
  </si>
  <si>
    <t>08:14-08:18</t>
  </si>
  <si>
    <t>08:18-08:21</t>
  </si>
  <si>
    <t>08:21-08:57</t>
  </si>
  <si>
    <t>08:57-09:05</t>
  </si>
  <si>
    <t>09:05-09:09</t>
  </si>
  <si>
    <t>09:09-09:14</t>
  </si>
  <si>
    <t>09:14-09:20</t>
  </si>
  <si>
    <t>09:20-09:21</t>
  </si>
  <si>
    <t>09:21-09:27</t>
  </si>
  <si>
    <t>09:27-09:29</t>
  </si>
  <si>
    <t>09:29-09:31</t>
  </si>
  <si>
    <t>09:31-09:41</t>
  </si>
  <si>
    <t>09:41-09:44</t>
  </si>
  <si>
    <t>12:42-12:50</t>
  </si>
  <si>
    <t>02:15-02:21</t>
  </si>
  <si>
    <t>So, we discussed about... We discussed about our future careers plans and IB and DSE, and if you can't make it into what you want, you maybe change schools or something like that. </t>
  </si>
  <si>
    <t>Does anyone want to read it aloud for me? Oh, Isaac wants to read it. Maybe Jeremy can read it. No, no, no, no. Isaac wants it. </t>
  </si>
  <si>
    <t>00:00-01:07</t>
  </si>
  <si>
    <t>Classroom</t>
  </si>
  <si>
    <t>01:07-01:37</t>
  </si>
  <si>
    <t>01:37-02:15</t>
  </si>
  <si>
    <t xml:space="preserve">Think about what I talked about. Pale passion, hungry and foolish. Friends to make, jobs to pursue. 
ECAs to do, IB or DSE. And one more minute to try to finish up both questions. What fork roads in life are you facing right now? How do you understand what's the best part of the forks of your life? Eric, Ethan, you know what I mean, right? This whole symbolic creative and motivation project we're doing. Yeah. Decisions, and there are, I'm really trying to make you think about how to make choices in life, wise choices. All right, can you guys please now discuss amongst yourselves, one minute. your friends, your partners, group on three, four dear J. Watch him and then share with each other. How do you, what kind of decisions are you making online? Go, please, discuss. Go, go, discuss. </t>
  </si>
  <si>
    <t>02:21-04:02</t>
  </si>
  <si>
    <t>04:02-07:44</t>
  </si>
  <si>
    <t>All right, I'm just gonna have a new group to share a little bit of ideas. Jason, what do you guys discuss about? Maybe, what choices do you have? Or how do you discern? </t>
  </si>
  <si>
    <t>07:14-07:24</t>
  </si>
  <si>
    <t>Two roads diverge in a yellow wood, and sorry I could not travel both. And be one travel long I stood, and looked down one as far as I could, to where it bent in the undergrowth. Then took the other as just as fair, and having perhaps a better plane, because it was grassy and wanting wear. Though it was that the passing there had worn them really about the same. And both that morning equally lay, and these no step had trodden back. Oh, I kept the first for another day. Yet knowing how way leads on to way, I doubted if I should ever come back. I shall be behind this with a sigh, somewhere ages and ages hence, two roads diverge in a wood, and I. I put the one less traveled by, and that has made all the difference. Okay? I want you to reread the poem and answer the last two questions. What do you think this poem is about in light of what we read before and talk about decisions? How is this poem related to the poem that I wrote? Okay? If you can't finish it, you can do it for homework. So please take some time to reread the poem again, think about it, and consider what it's about. Reread the poem again in your own words, please. Okay? You can type, you can write. And if you really, really like to do some research, AI is a good tool. You could ask AI what you think the poem's about, to use the AI to think about the poem, too.
All right? So before the bell rings, I'll let you guys to consider that we've said the creative non fiction piece before. All right? Talking about decisions, and we read a little poem called The Road Not Taken by Robert Frost. Okay? So please take some time to reread the poem and consider The Road Not Taken and the Fork and comparative comparison between both pieces of work.</t>
  </si>
  <si>
    <t>09:44-12:23</t>
  </si>
  <si>
    <t>12:23-12:42</t>
  </si>
  <si>
    <t>APT moves</t>
    <phoneticPr fontId="6" type="noConversion"/>
  </si>
  <si>
    <t>Say more(T3)</t>
  </si>
  <si>
    <t>Revoice(T1)</t>
  </si>
  <si>
    <t>word</t>
    <phoneticPr fontId="4" type="noConversion"/>
  </si>
  <si>
    <t xml:space="preserve">Education, choices and disturbance. We won't go through the entire text. Can we look at the two questions at the bottom of the page? Alright, for the creative non-fiction. Alright, these are some choices that we have. These are values that we're trying to inculcate. What fault roads in life are you facing right now? Alright, there's a big one, right, for phone four, what is it? To Ivy or not to Ivy, right? All right. And how do you discern what is the best cost in the course of your life? All right, can you answer those two questions? Take a few minutes. Isaac, can we take your pen off and start writing... </t>
    <phoneticPr fontId="4" type="noConversion"/>
  </si>
  <si>
    <t>All right, two more minutes, two to three more minutes. Please take out a pen to think of what fork roads, what decisions you have to make in your life. The second question, how do you discern, how do you make a wise decision? </t>
    <phoneticPr fontId="4" type="noConversion"/>
  </si>
  <si>
    <t>Agree/Disagree</t>
    <phoneticPr fontId="4" type="noConversion"/>
  </si>
  <si>
    <t>Restate</t>
    <phoneticPr fontId="4" type="noConversion"/>
  </si>
  <si>
    <t>Challenge</t>
    <phoneticPr fontId="4" type="noConversion"/>
  </si>
  <si>
    <t>Press for reasoning</t>
    <phoneticPr fontId="4" type="noConversion"/>
  </si>
  <si>
    <t>Add on</t>
    <phoneticPr fontId="4" type="noConversion"/>
  </si>
  <si>
    <t>Explain others</t>
    <phoneticPr fontId="4" type="noConversion"/>
  </si>
  <si>
    <t>Maybe, yeah, choose a stable career, like the classic advice to be a doctor, lawyer, and then maybe if you feel that you want to explore other paths, I mean, you have made enough money or you have a good lot of savings, you could consider changing your career or pursuing your dreams. All right, I know this is gonna be a very, very quick, as I said, I reference a poem. Can you remember the title of the poem? Can you open your iPads? Poetry. We have a few minutes. </t>
    <phoneticPr fontId="4" type="noConversion"/>
  </si>
  <si>
    <t>sum</t>
  </si>
  <si>
    <t>Teachers' total words</t>
  </si>
  <si>
    <t>Students' total words</t>
  </si>
  <si>
    <t>Total turns</t>
  </si>
  <si>
    <t>No. of teachers' turn</t>
  </si>
  <si>
    <t>No. of students' 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</si>
</sst>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scheme val="minor"/>
    </font>
    <font>
      <b/>
      <sz val="12"/>
      <color theme="1"/>
      <name val="等线"/>
      <scheme val="minor"/>
    </font>
    <font>
      <sz val="12"/>
      <color rgb="FF000000"/>
      <name val="Aptos"/>
    </font>
    <font>
      <sz val="12"/>
      <name val="Aptos"/>
    </font>
    <font>
      <sz val="8"/>
      <name val="等线"/>
      <family val="2"/>
      <scheme val="minor"/>
    </font>
    <font>
      <sz val="12"/>
      <color theme="1"/>
      <name val="等线"/>
      <scheme val="minor"/>
    </font>
    <font>
      <sz val="9"/>
      <name val="等线"/>
      <family val="3"/>
      <charset val="134"/>
      <scheme val="minor"/>
    </font>
    <font>
      <b/>
      <sz val="12"/>
      <color theme="1"/>
      <name val="Calibri"/>
      <family val="2"/>
    </font>
    <font>
      <sz val="12"/>
      <color theme="1"/>
      <name val="Helvetica"/>
      <family val="2"/>
    </font>
    <font>
      <sz val="11"/>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20" fontId="0" fillId="0" borderId="0" xfId="0" applyNumberFormat="1"/>
    <xf numFmtId="0" fontId="5" fillId="0" borderId="0" xfId="0" applyFont="1"/>
    <xf numFmtId="0" fontId="7"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7" fillId="0" borderId="0" xfId="0" applyFont="1" applyAlignment="1">
      <alignment horizontal="center" vertical="center"/>
    </xf>
    <xf numFmtId="0" fontId="8" fillId="0" borderId="0" xfId="0" applyFont="1"/>
    <xf numFmtId="0" fontId="9"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9706-B5CE-B642-98D0-29E994FC83DA}">
  <dimension ref="A1:N86"/>
  <sheetViews>
    <sheetView tabSelected="1" zoomScaleNormal="100" workbookViewId="0">
      <pane ySplit="2" topLeftCell="A16" activePane="bottomLeft" state="frozen"/>
      <selection pane="bottomLeft" activeCell="K39" sqref="K39"/>
    </sheetView>
  </sheetViews>
  <sheetFormatPr baseColWidth="10" defaultRowHeight="16"/>
  <cols>
    <col min="1" max="1" width="7.83203125" bestFit="1" customWidth="1"/>
    <col min="2" max="2" width="15.83203125" customWidth="1"/>
    <col min="3" max="3" width="9.83203125" bestFit="1" customWidth="1"/>
    <col min="4" max="4" width="43.1640625" style="1" customWidth="1"/>
    <col min="6" max="13" width="15.83203125" customWidth="1"/>
  </cols>
  <sheetData>
    <row r="1" spans="1:14">
      <c r="A1" s="7" t="s">
        <v>0</v>
      </c>
      <c r="B1" s="7" t="s">
        <v>1</v>
      </c>
      <c r="C1" s="7" t="s">
        <v>2</v>
      </c>
      <c r="D1" s="8" t="s">
        <v>3</v>
      </c>
      <c r="E1" s="8" t="s">
        <v>65</v>
      </c>
      <c r="F1" s="6" t="s">
        <v>62</v>
      </c>
      <c r="G1" s="6"/>
      <c r="H1" s="6"/>
      <c r="I1" s="6"/>
      <c r="J1" s="6"/>
      <c r="K1" s="6"/>
      <c r="L1" s="6"/>
      <c r="M1" s="6"/>
      <c r="N1" s="9"/>
    </row>
    <row r="2" spans="1:14">
      <c r="A2" s="7"/>
      <c r="B2" s="7"/>
      <c r="C2" s="7"/>
      <c r="D2" s="8"/>
      <c r="E2" s="8"/>
      <c r="F2" s="10" t="s">
        <v>63</v>
      </c>
      <c r="G2" s="10" t="s">
        <v>64</v>
      </c>
      <c r="H2" s="10" t="s">
        <v>71</v>
      </c>
      <c r="I2" s="10" t="s">
        <v>70</v>
      </c>
      <c r="J2" s="10" t="s">
        <v>69</v>
      </c>
      <c r="K2" s="10" t="s">
        <v>68</v>
      </c>
      <c r="L2" s="10" t="s">
        <v>72</v>
      </c>
      <c r="M2" s="10" t="s">
        <v>73</v>
      </c>
      <c r="N2" s="9"/>
    </row>
    <row r="3" spans="1:14" ht="221">
      <c r="A3">
        <v>1</v>
      </c>
      <c r="B3" t="s">
        <v>50</v>
      </c>
      <c r="C3" t="s">
        <v>4</v>
      </c>
      <c r="D3" s="2" t="s">
        <v>66</v>
      </c>
      <c r="E3" s="11">
        <f>LEN(D3)-LEN(SUBSTITUTE(D3," ",""))+1</f>
        <v>114</v>
      </c>
    </row>
    <row r="4" spans="1:14">
      <c r="A4">
        <v>2</v>
      </c>
      <c r="B4" t="s">
        <v>52</v>
      </c>
      <c r="C4" t="s">
        <v>51</v>
      </c>
      <c r="E4" s="11">
        <f t="shared" ref="E4:E29" si="0">LEN(D4)-LEN(SUBSTITUTE(D4," ",""))+1</f>
        <v>1</v>
      </c>
    </row>
    <row r="5" spans="1:14" ht="85">
      <c r="A5">
        <v>3</v>
      </c>
      <c r="B5" t="s">
        <v>53</v>
      </c>
      <c r="C5" t="s">
        <v>4</v>
      </c>
      <c r="D5" s="2" t="s">
        <v>67</v>
      </c>
      <c r="E5" s="11">
        <f t="shared" si="0"/>
        <v>43</v>
      </c>
    </row>
    <row r="6" spans="1:14" ht="17">
      <c r="A6">
        <v>4</v>
      </c>
      <c r="B6" t="s">
        <v>47</v>
      </c>
      <c r="C6" t="s">
        <v>5</v>
      </c>
      <c r="D6" s="1" t="s">
        <v>12</v>
      </c>
      <c r="E6" s="11">
        <f t="shared" si="0"/>
        <v>10</v>
      </c>
    </row>
    <row r="7" spans="1:14" ht="136">
      <c r="A7">
        <v>5</v>
      </c>
      <c r="B7" t="s">
        <v>55</v>
      </c>
      <c r="C7" t="s">
        <v>4</v>
      </c>
      <c r="D7" s="2" t="s">
        <v>54</v>
      </c>
      <c r="E7" s="11">
        <f t="shared" si="0"/>
        <v>143</v>
      </c>
    </row>
    <row r="8" spans="1:14">
      <c r="A8">
        <v>6</v>
      </c>
      <c r="B8" t="s">
        <v>56</v>
      </c>
      <c r="C8" t="s">
        <v>51</v>
      </c>
      <c r="D8" s="2"/>
      <c r="E8" s="11">
        <v>0</v>
      </c>
    </row>
    <row r="9" spans="1:14" ht="68">
      <c r="A9">
        <v>7</v>
      </c>
      <c r="B9" t="s">
        <v>58</v>
      </c>
      <c r="C9" t="s">
        <v>4</v>
      </c>
      <c r="D9" s="3" t="s">
        <v>57</v>
      </c>
      <c r="E9" s="11">
        <f t="shared" si="0"/>
        <v>22</v>
      </c>
    </row>
    <row r="10" spans="1:14" ht="68">
      <c r="A10">
        <v>8</v>
      </c>
      <c r="B10" t="s">
        <v>29</v>
      </c>
      <c r="C10" t="s">
        <v>7</v>
      </c>
      <c r="D10" s="3" t="s">
        <v>48</v>
      </c>
      <c r="E10" s="11">
        <f t="shared" si="0"/>
        <v>27</v>
      </c>
    </row>
    <row r="11" spans="1:14" ht="51">
      <c r="A11">
        <v>9</v>
      </c>
      <c r="B11" t="s">
        <v>30</v>
      </c>
      <c r="C11" t="s">
        <v>4</v>
      </c>
      <c r="D11" s="3" t="s">
        <v>13</v>
      </c>
      <c r="E11" s="11">
        <f t="shared" si="0"/>
        <v>19</v>
      </c>
    </row>
    <row r="12" spans="1:14" ht="17">
      <c r="A12">
        <v>10</v>
      </c>
      <c r="B12" t="s">
        <v>31</v>
      </c>
      <c r="C12" t="s">
        <v>28</v>
      </c>
      <c r="D12" s="3" t="s">
        <v>14</v>
      </c>
      <c r="E12" s="11">
        <f t="shared" si="0"/>
        <v>4</v>
      </c>
    </row>
    <row r="13" spans="1:14" ht="51">
      <c r="A13">
        <v>11</v>
      </c>
      <c r="B13" t="s">
        <v>32</v>
      </c>
      <c r="C13" t="s">
        <v>4</v>
      </c>
      <c r="D13" s="3" t="s">
        <v>15</v>
      </c>
      <c r="E13" s="11"/>
      <c r="L13">
        <v>1</v>
      </c>
    </row>
    <row r="14" spans="1:14" ht="17">
      <c r="A14">
        <v>12</v>
      </c>
      <c r="B14" s="4" t="s">
        <v>33</v>
      </c>
      <c r="C14" t="s">
        <v>5</v>
      </c>
      <c r="D14" s="3" t="s">
        <v>16</v>
      </c>
      <c r="E14" s="11">
        <f t="shared" si="0"/>
        <v>7</v>
      </c>
    </row>
    <row r="15" spans="1:14" ht="17">
      <c r="A15">
        <v>13</v>
      </c>
      <c r="B15" s="4" t="s">
        <v>34</v>
      </c>
      <c r="C15" t="s">
        <v>11</v>
      </c>
      <c r="D15" s="3" t="s">
        <v>17</v>
      </c>
      <c r="E15" s="11">
        <f t="shared" si="0"/>
        <v>1</v>
      </c>
    </row>
    <row r="16" spans="1:14" ht="170">
      <c r="A16">
        <v>14</v>
      </c>
      <c r="B16" s="4" t="s">
        <v>35</v>
      </c>
      <c r="C16" t="s">
        <v>4</v>
      </c>
      <c r="D16" s="2" t="s">
        <v>74</v>
      </c>
      <c r="E16" s="11">
        <f t="shared" si="0"/>
        <v>87</v>
      </c>
    </row>
    <row r="17" spans="1:13" ht="17">
      <c r="A17">
        <v>15</v>
      </c>
      <c r="B17" s="4" t="s">
        <v>36</v>
      </c>
      <c r="C17" t="s">
        <v>8</v>
      </c>
      <c r="D17" s="2" t="s">
        <v>18</v>
      </c>
      <c r="E17" s="11">
        <f t="shared" si="0"/>
        <v>3</v>
      </c>
    </row>
    <row r="18" spans="1:13" ht="17">
      <c r="A18">
        <v>16</v>
      </c>
      <c r="B18" s="4" t="s">
        <v>37</v>
      </c>
      <c r="C18" t="s">
        <v>4</v>
      </c>
      <c r="D18" s="3" t="s">
        <v>19</v>
      </c>
      <c r="E18" s="11">
        <f t="shared" si="0"/>
        <v>5</v>
      </c>
    </row>
    <row r="19" spans="1:13" ht="17">
      <c r="A19">
        <v>17</v>
      </c>
      <c r="B19" s="4" t="s">
        <v>38</v>
      </c>
      <c r="C19" t="s">
        <v>6</v>
      </c>
      <c r="D19" s="3" t="s">
        <v>20</v>
      </c>
      <c r="E19" s="11">
        <f t="shared" si="0"/>
        <v>2</v>
      </c>
    </row>
    <row r="20" spans="1:13" ht="17">
      <c r="A20">
        <v>18</v>
      </c>
      <c r="B20" s="4" t="s">
        <v>39</v>
      </c>
      <c r="C20" t="s">
        <v>4</v>
      </c>
      <c r="D20" s="3" t="s">
        <v>21</v>
      </c>
      <c r="E20" s="11">
        <f t="shared" si="0"/>
        <v>8</v>
      </c>
    </row>
    <row r="21" spans="1:13" ht="17">
      <c r="A21">
        <v>19</v>
      </c>
      <c r="B21" s="4" t="s">
        <v>40</v>
      </c>
      <c r="C21" t="s">
        <v>9</v>
      </c>
      <c r="D21" s="3" t="s">
        <v>22</v>
      </c>
      <c r="E21" s="11">
        <f t="shared" si="0"/>
        <v>1</v>
      </c>
    </row>
    <row r="22" spans="1:13" ht="17">
      <c r="A22">
        <v>20</v>
      </c>
      <c r="B22" s="4" t="s">
        <v>41</v>
      </c>
      <c r="C22" t="s">
        <v>4</v>
      </c>
      <c r="D22" s="3" t="s">
        <v>23</v>
      </c>
      <c r="E22" s="11">
        <f t="shared" si="0"/>
        <v>5</v>
      </c>
    </row>
    <row r="23" spans="1:13" ht="17">
      <c r="A23">
        <v>21</v>
      </c>
      <c r="B23" s="4" t="s">
        <v>42</v>
      </c>
      <c r="C23" t="s">
        <v>9</v>
      </c>
      <c r="D23" s="3" t="s">
        <v>24</v>
      </c>
      <c r="E23" s="11">
        <f t="shared" si="0"/>
        <v>2</v>
      </c>
    </row>
    <row r="24" spans="1:13" ht="17">
      <c r="A24">
        <v>22</v>
      </c>
      <c r="B24" s="4" t="s">
        <v>43</v>
      </c>
      <c r="C24" t="s">
        <v>4</v>
      </c>
      <c r="D24" s="3" t="s">
        <v>25</v>
      </c>
      <c r="E24" s="11">
        <f t="shared" si="0"/>
        <v>3</v>
      </c>
      <c r="L24">
        <v>1</v>
      </c>
    </row>
    <row r="25" spans="1:13" ht="34">
      <c r="A25">
        <v>23</v>
      </c>
      <c r="B25" s="4" t="s">
        <v>44</v>
      </c>
      <c r="C25" s="5" t="s">
        <v>10</v>
      </c>
      <c r="D25" s="3" t="s">
        <v>49</v>
      </c>
      <c r="E25" s="11">
        <f t="shared" si="0"/>
        <v>25</v>
      </c>
    </row>
    <row r="26" spans="1:13" ht="17">
      <c r="A26">
        <v>24</v>
      </c>
      <c r="B26" s="4" t="s">
        <v>45</v>
      </c>
      <c r="C26" t="s">
        <v>4</v>
      </c>
      <c r="D26" s="3" t="s">
        <v>27</v>
      </c>
      <c r="E26" s="11">
        <f t="shared" si="0"/>
        <v>8</v>
      </c>
    </row>
    <row r="27" spans="1:13" ht="50" customHeight="1">
      <c r="A27">
        <v>25</v>
      </c>
      <c r="B27" s="4" t="s">
        <v>60</v>
      </c>
      <c r="C27" t="s">
        <v>4</v>
      </c>
      <c r="D27" s="3" t="s">
        <v>59</v>
      </c>
      <c r="E27" s="11">
        <f t="shared" si="0"/>
        <v>299</v>
      </c>
    </row>
    <row r="28" spans="1:13">
      <c r="A28">
        <v>26</v>
      </c>
      <c r="B28" s="4" t="s">
        <v>61</v>
      </c>
      <c r="C28" t="s">
        <v>51</v>
      </c>
      <c r="D28" s="3"/>
      <c r="E28" s="11">
        <v>0</v>
      </c>
    </row>
    <row r="29" spans="1:13" ht="17">
      <c r="A29">
        <v>27</v>
      </c>
      <c r="B29" s="4" t="s">
        <v>46</v>
      </c>
      <c r="C29" t="s">
        <v>4</v>
      </c>
      <c r="D29" s="3" t="s">
        <v>26</v>
      </c>
      <c r="E29" s="11">
        <f t="shared" si="0"/>
        <v>8</v>
      </c>
    </row>
    <row r="30" spans="1:13">
      <c r="B30" s="4"/>
      <c r="D30" s="3"/>
    </row>
    <row r="31" spans="1:13">
      <c r="D31" s="11" t="s">
        <v>75</v>
      </c>
      <c r="E31" s="12">
        <f>SUM(E3:E29)</f>
        <v>847</v>
      </c>
      <c r="F31" s="12">
        <f t="shared" ref="F31:M31" si="1">SUM(F3:F29)</f>
        <v>0</v>
      </c>
      <c r="G31" s="12">
        <f t="shared" si="1"/>
        <v>0</v>
      </c>
      <c r="H31" s="12">
        <f t="shared" si="1"/>
        <v>0</v>
      </c>
      <c r="I31" s="12">
        <f t="shared" si="1"/>
        <v>0</v>
      </c>
      <c r="J31" s="12">
        <f t="shared" si="1"/>
        <v>0</v>
      </c>
      <c r="K31" s="12">
        <f t="shared" si="1"/>
        <v>0</v>
      </c>
      <c r="L31" s="12">
        <f t="shared" si="1"/>
        <v>2</v>
      </c>
      <c r="M31" s="12">
        <f t="shared" si="1"/>
        <v>0</v>
      </c>
    </row>
    <row r="32" spans="1:13">
      <c r="D32" s="12" t="s">
        <v>76</v>
      </c>
      <c r="E32">
        <f>SUMIF(C3:C9, "Teacher", E3:E9)</f>
        <v>322</v>
      </c>
    </row>
    <row r="33" spans="4:5">
      <c r="D33" s="12" t="s">
        <v>77</v>
      </c>
      <c r="E33">
        <f>E31-E32</f>
        <v>525</v>
      </c>
    </row>
    <row r="34" spans="4:5">
      <c r="D34" s="12" t="s">
        <v>78</v>
      </c>
      <c r="E34">
        <v>27</v>
      </c>
    </row>
    <row r="35" spans="4:5">
      <c r="D35" s="12" t="s">
        <v>79</v>
      </c>
      <c r="E35" s="12">
        <f>COUNTIF(C3:C29, "Teacher")</f>
        <v>14</v>
      </c>
    </row>
    <row r="36" spans="4:5">
      <c r="D36" s="12" t="s">
        <v>80</v>
      </c>
      <c r="E36">
        <f>E34-E35</f>
        <v>13</v>
      </c>
    </row>
    <row r="38" spans="4:5">
      <c r="D38" s="3"/>
    </row>
    <row r="39" spans="4:5">
      <c r="D39" s="3"/>
    </row>
    <row r="40" spans="4:5">
      <c r="D40" s="3"/>
    </row>
    <row r="63" ht="89" customHeight="1"/>
    <row r="66" ht="54" customHeight="1"/>
    <row r="81" ht="84" customHeight="1"/>
    <row r="84" ht="59" customHeight="1"/>
    <row r="86" ht="74" customHeight="1"/>
  </sheetData>
  <mergeCells count="6">
    <mergeCell ref="A1:A2"/>
    <mergeCell ref="B1:B2"/>
    <mergeCell ref="C1:C2"/>
    <mergeCell ref="D1:D2"/>
    <mergeCell ref="E1:E2"/>
    <mergeCell ref="F1:M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Aline Lukito</dc:creator>
  <cp:lastModifiedBy>susan zhou</cp:lastModifiedBy>
  <dcterms:created xsi:type="dcterms:W3CDTF">2026-03-24T12:45:02Z</dcterms:created>
  <dcterms:modified xsi:type="dcterms:W3CDTF">2026-05-01T13:08:26Z</dcterms:modified>
</cp:coreProperties>
</file>