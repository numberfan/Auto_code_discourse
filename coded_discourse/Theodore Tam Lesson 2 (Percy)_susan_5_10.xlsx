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https://d.docs.live.net/529a137f6cc16f6a/课内相关/京师人/学业/各种项目/2026上半年陶瓷/ChenGaowei/5.5编码任务/"/>
    </mc:Choice>
  </mc:AlternateContent>
  <xr:revisionPtr revIDLastSave="2" documentId="8_{BB1FC049-9FDD-A841-85F4-8214BBC2BF26}" xr6:coauthVersionLast="47" xr6:coauthVersionMax="47" xr10:uidLastSave="{E2E400E2-636E-004A-A9AE-B9E941463EE2}"/>
  <bookViews>
    <workbookView xWindow="0" yWindow="740" windowWidth="29400" windowHeight="18380" xr2:uid="{00000000-000D-0000-FFFF-FFFF00000000}"/>
  </bookViews>
  <sheets>
    <sheet name="SubtitleContentTmpl-727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5" i="1" l="1"/>
  <c r="G75" i="1"/>
  <c r="H75" i="1"/>
  <c r="I75" i="1"/>
  <c r="J75" i="1"/>
  <c r="K75" i="1"/>
  <c r="L75" i="1"/>
  <c r="M75" i="1"/>
  <c r="E80" i="1"/>
  <c r="E79"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3" i="1"/>
  <c r="E76" i="1" l="1"/>
  <c r="E75" i="1"/>
  <c r="E77" i="1" l="1"/>
</calcChain>
</file>

<file path=xl/sharedStrings.xml><?xml version="1.0" encoding="utf-8"?>
<sst xmlns="http://schemas.openxmlformats.org/spreadsheetml/2006/main" count="303" uniqueCount="246">
  <si>
    <t>1</t>
  </si>
  <si>
    <t>2</t>
  </si>
  <si>
    <t>3</t>
  </si>
  <si>
    <t>4</t>
  </si>
  <si>
    <t>5</t>
  </si>
  <si>
    <t>6</t>
  </si>
  <si>
    <t>7</t>
  </si>
  <si>
    <t>8</t>
  </si>
  <si>
    <t>9</t>
  </si>
  <si>
    <t>10</t>
  </si>
  <si>
    <t>11</t>
  </si>
  <si>
    <t>Student A</t>
  </si>
  <si>
    <t>12</t>
  </si>
  <si>
    <t>14</t>
  </si>
  <si>
    <t>15</t>
  </si>
  <si>
    <t>Student B</t>
  </si>
  <si>
    <t>16</t>
  </si>
  <si>
    <t>17</t>
  </si>
  <si>
    <t>18</t>
  </si>
  <si>
    <t>19</t>
  </si>
  <si>
    <t>20</t>
  </si>
  <si>
    <t>21</t>
  </si>
  <si>
    <t>22</t>
  </si>
  <si>
    <t>23</t>
  </si>
  <si>
    <t>24</t>
  </si>
  <si>
    <t>Student C</t>
  </si>
  <si>
    <t>25</t>
  </si>
  <si>
    <t>26</t>
  </si>
  <si>
    <t>Ss</t>
  </si>
  <si>
    <t>Yes.</t>
  </si>
  <si>
    <t>27</t>
  </si>
  <si>
    <t>Teacher</t>
  </si>
  <si>
    <t>(group work)</t>
  </si>
  <si>
    <t>Student E</t>
  </si>
  <si>
    <t>Aiden</t>
  </si>
  <si>
    <t>Student D</t>
  </si>
  <si>
    <t>(incoherent)</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</si>
  <si>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</si>
  <si>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</si>
  <si>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</si>
  <si>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</si>
  <si>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</si>
  <si>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</si>
  <si>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</si>
  <si>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</si>
  <si>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</si>
  <si>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</si>
  <si>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</si>
  <si>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</si>
  <si>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</si>
  <si>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</si>
  <si>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</si>
  <si>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</si>
  <si>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</si>
  <si>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</si>
  <si>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</si>
  <si>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</si>
  <si>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</si>
  <si>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</si>
  <si>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</si>
  <si>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</si>
  <si>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</si>
  <si>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</si>
  <si>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</si>
  <si>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</si>
  <si>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</si>
  <si>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</si>
  <si>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</si>
  <si>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</si>
  <si>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</si>
  <si>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</si>
  <si>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</si>
  <si>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</si>
  <si>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</si>
  <si>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</si>
  <si>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</si>
  <si>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</si>
  <si>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</si>
  <si>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</si>
  <si>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</si>
  <si>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</si>
  <si>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Okay, stand up. Good morning, class.</t>
  </si>
  <si>
    <t>Good morning, Mr. Tam.</t>
  </si>
  <si>
    <t>Precise.</t>
  </si>
  <si>
    <t>Examples.</t>
  </si>
  <si>
    <t>Statistics.</t>
  </si>
  <si>
    <t>Contractions.</t>
  </si>
  <si>
    <t>Michelle</t>
  </si>
  <si>
    <t>Lindsay</t>
  </si>
  <si>
    <t>Purpose of writing.</t>
  </si>
  <si>
    <t>Purpose of writing. What do you mean by purpose of writing?</t>
  </si>
  <si>
    <t>In the letter to the editor, you are responding to something. You might be agreeing or disagreeing on the topic, but in an essay, you're simply stating your topic.</t>
  </si>
  <si>
    <t>Essay.</t>
  </si>
  <si>
    <t>Lucas</t>
  </si>
  <si>
    <t>You can use things you saw or new experiences as examples to argue.</t>
  </si>
  <si>
    <t>James</t>
  </si>
  <si>
    <t>You have an old thing and then you...</t>
  </si>
  <si>
    <t>00:11-00:19</t>
  </si>
  <si>
    <t>00:19-00:23</t>
  </si>
  <si>
    <t>00:23-05:10</t>
  </si>
  <si>
    <t>05:10-05:13</t>
  </si>
  <si>
    <t>05:13-07:13</t>
  </si>
  <si>
    <t>07:13-07:14</t>
  </si>
  <si>
    <t>07:14-07:40</t>
  </si>
  <si>
    <t>07:40-07:41</t>
  </si>
  <si>
    <t>07:41-10:02</t>
  </si>
  <si>
    <t>10:02-10:03</t>
  </si>
  <si>
    <t>10:03-12:37</t>
  </si>
  <si>
    <t>12:37-12:38</t>
  </si>
  <si>
    <t>12:38-12:41</t>
  </si>
  <si>
    <t>12:41-12:51</t>
  </si>
  <si>
    <t>12:51-13:33</t>
  </si>
  <si>
    <t>13:33-13:34</t>
  </si>
  <si>
    <t>13:34-14:47</t>
  </si>
  <si>
    <t>14:47-14:55</t>
  </si>
  <si>
    <t>14:55-19:53</t>
  </si>
  <si>
    <t>19:53-20:01</t>
  </si>
  <si>
    <t>22:26-22:30</t>
  </si>
  <si>
    <t>22:30-22:36</t>
  </si>
  <si>
    <t>22:36-22:38</t>
  </si>
  <si>
    <t>22:38-23:12</t>
  </si>
  <si>
    <t>23:12-23:18</t>
  </si>
  <si>
    <t>23:18-24:29</t>
  </si>
  <si>
    <t>24:29-24:30</t>
  </si>
  <si>
    <t>24:30-25:25</t>
  </si>
  <si>
    <t>25:25-25:39</t>
  </si>
  <si>
    <t>20:01-22:13</t>
  </si>
  <si>
    <t>22:13-22:26</t>
  </si>
  <si>
    <t>Why would you want to write the national sports facilities?</t>
  </si>
  <si>
    <t>District Council.</t>
  </si>
  <si>
    <t>Just need one more and some possible arguments for that.</t>
  </si>
  <si>
    <t>One more minute.</t>
  </si>
  <si>
    <t>Okay, so can you give me some roles, perhaps? Aiden, give me one. Athlete from the Hong Kong team.</t>
  </si>
  <si>
    <t>Athlete from the Hong Kong team.</t>
  </si>
  <si>
    <t>Okay.</t>
  </si>
  <si>
    <t>A coach.</t>
  </si>
  <si>
    <t>A coach, Marcus.</t>
  </si>
  <si>
    <t>Athlete.</t>
  </si>
  <si>
    <t>Like an athlete from the Hong Kong team or some sort of student athlete? Student athlete. All right. Kyrie.</t>
  </si>
  <si>
    <t>Kyrie</t>
  </si>
  <si>
    <t>I also like professional athletes.</t>
  </si>
  <si>
    <t>Professional athletes.</t>
  </si>
  <si>
    <t>Athlete. Do we have ideas other than athlete or coach?</t>
  </si>
  <si>
    <t>(incoherent) sports enthusiasts</t>
  </si>
  <si>
    <t>25:39-25:50</t>
  </si>
  <si>
    <t>25:50-25:51</t>
  </si>
  <si>
    <t>25:51-25:52</t>
  </si>
  <si>
    <t>25:52-25:58</t>
  </si>
  <si>
    <t>25:58-25:59</t>
  </si>
  <si>
    <t>25:59-26:11</t>
  </si>
  <si>
    <t>26:11-26:17</t>
  </si>
  <si>
    <t>26:17-26:20</t>
  </si>
  <si>
    <t>26:20-26:30</t>
  </si>
  <si>
    <t>26:30-26:36</t>
  </si>
  <si>
    <t>26:36-27:05</t>
  </si>
  <si>
    <t>27:05-27:08</t>
  </si>
  <si>
    <t>27:08-27:17</t>
  </si>
  <si>
    <t>27:17-27:24</t>
  </si>
  <si>
    <t>Marcus</t>
  </si>
  <si>
    <t>Retired pickleball player.</t>
  </si>
  <si>
    <t>Those people who play pickleball mostly retire.</t>
  </si>
  <si>
    <t>So a pickleball player. Retired from another job. Okay. So retirees. Okay. Yeah, that old lady I can recognize. Always, always swims back stroke, okay? And then very slowly, like you could do it, you could do 4 laps when she does like half, so blocking the way. Now anyway, what else? Wilson? Athletes, anything else, Hector?</t>
  </si>
  <si>
    <t>Wilson</t>
  </si>
  <si>
    <t>You are a urban renewal authority.</t>
  </si>
  <si>
    <t>Hector</t>
  </si>
  <si>
    <t>27:24-27:58</t>
  </si>
  <si>
    <t>27:58-28:00</t>
  </si>
  <si>
    <t>28:00-28:58</t>
  </si>
  <si>
    <t>29:01-29:11</t>
  </si>
  <si>
    <t>I only row, The role.</t>
  </si>
  <si>
    <t>Luca</t>
  </si>
  <si>
    <t>The role. So could you, could you give me the answer now? We'll come back to you, Aiden.</t>
  </si>
  <si>
    <t>There are lack of support in (incoherent) It's really hard to book a venue for the training.</t>
  </si>
  <si>
    <t>29:11-29:19</t>
  </si>
  <si>
    <t>29:28-29:31</t>
  </si>
  <si>
    <t>Okay, hard to book a venue for training?</t>
  </si>
  <si>
    <t>29:19-29:22</t>
  </si>
  <si>
    <t>29:22-29:25</t>
  </si>
  <si>
    <t>29:25-29:28</t>
  </si>
  <si>
    <t>insufficient sports facilities</t>
  </si>
  <si>
    <t>28:58-29:01</t>
  </si>
  <si>
    <t>Insufficient what?</t>
  </si>
  <si>
    <t>Sport facilities.</t>
  </si>
  <si>
    <t>So facilities and equipment. Okay. Anything to add on to that? Anyone else? Student athletes?</t>
  </si>
  <si>
    <t>I would like to add most professional athlete from the student athlete.</t>
  </si>
  <si>
    <t>So turning student, in order to turn student athletes into professional athletes, we need the facilities and equipment.</t>
  </si>
  <si>
    <t>29:31-29:45</t>
  </si>
  <si>
    <t>29:45-29:53</t>
  </si>
  <si>
    <t>29:53-30:01</t>
  </si>
  <si>
    <t>30:01-30:09</t>
  </si>
  <si>
    <t>30:09-31:10</t>
  </si>
  <si>
    <t>Jacobs</t>
  </si>
  <si>
    <t>31:10-31:17</t>
  </si>
  <si>
    <t>Sport facilities should be accessible within the community.</t>
  </si>
  <si>
    <t>31:17-32:23</t>
  </si>
  <si>
    <t>32:23-32:44</t>
  </si>
  <si>
    <t>32:44-38:11</t>
  </si>
  <si>
    <t>Did you write it tomorrow?</t>
  </si>
  <si>
    <t>No, no, no. You see, you have PTSD, you have been doing too many tasks. But it's good to get it over with, right? Are you disagreeing with me? Mark?</t>
  </si>
  <si>
    <t>No, no.</t>
  </si>
  <si>
    <t>Goodbye and thank you, Mr. Tam.</t>
  </si>
  <si>
    <t>Alvin Barton and friends who will be doing this set with this article. Okay.</t>
  </si>
  <si>
    <t>38:11-38:15</t>
  </si>
  <si>
    <t>38:15-38:28</t>
  </si>
  <si>
    <t>38:28-38:32</t>
  </si>
  <si>
    <t>38:49-38:51</t>
  </si>
  <si>
    <t>38:51-38:56</t>
  </si>
  <si>
    <t>38:56-39:59</t>
  </si>
  <si>
    <t>Mark</t>
  </si>
  <si>
    <t>See, very democratic. I forgot about it. I need to cut this part out. Stand up. Goodbye, class.</t>
  </si>
  <si>
    <t>38:32-38:49</t>
  </si>
  <si>
    <t>APT moves</t>
    <phoneticPr fontId="2" type="noConversion"/>
  </si>
  <si>
    <t>Say more(T3)</t>
  </si>
  <si>
    <t>Revoice(T1)</t>
  </si>
  <si>
    <t>Press for reasoning(T2)</t>
  </si>
  <si>
    <t>Challenge(T4)</t>
  </si>
  <si>
    <t>Restate(1678976054)</t>
  </si>
  <si>
    <t>Agree/Disagree(1678976089)</t>
  </si>
  <si>
    <t>Add on(1678976097)</t>
  </si>
  <si>
    <t>Explain others(T5)</t>
  </si>
  <si>
    <t>word</t>
    <phoneticPr fontId="2" type="noConversion"/>
  </si>
  <si>
    <t>Number</t>
    <phoneticPr fontId="2" type="noConversion"/>
  </si>
  <si>
    <t>Timestamp</t>
    <phoneticPr fontId="2" type="noConversion"/>
  </si>
  <si>
    <t>Speaker</t>
    <phoneticPr fontId="2" type="noConversion"/>
  </si>
  <si>
    <t>Utterance</t>
    <phoneticPr fontId="2" type="noConversion"/>
  </si>
  <si>
    <t>sum</t>
  </si>
  <si>
    <t>Teachers' total words</t>
  </si>
  <si>
    <t>Students' total words</t>
  </si>
  <si>
    <t>Total turns</t>
  </si>
  <si>
    <t>No. of teachers' turn</t>
  </si>
  <si>
    <t>No. of students' turn</t>
  </si>
  <si>
    <t>So last week we had the class paper practice week, which I'm sure you've probably enjoyed. And this week we will have a little, you know, a break. From it, and but before we start talking about other things, I'd like to just sort out some housekeeping matters. Now, first of all, this morning I released the SBA note for... round one which will take place 27th of April next Monday so you can check your WhatsApp or one note content library okay the file is available there and I'm not allowed to explain the question okay so based on what I taught you last time in trying to speculate on what the question what what the actual wordings of the question look like, I think you could prepare accordingly okay. Uh and just like last time uh I hope you can speak for at least four minutes and roughly at most in six minutes. Try not to exceed that or else you jeopardize the schedule unless you really speak very well. So about four to six minutes. And also prepare that plot summary because last time some of you left out the plot summary. So, make sure there is that plot summary of about one minute long but not longer than 75 seconds. Okay, so that's the SBA. Next Monday, 27th of April, I hope we can begin at 1:45 p.m. So you come here by 1:45 p.m. For the orchestra member, Bessie, you come at 1:35 p.m. Okay? So actually 1:40 p.m. should be. Okay, since Damien doesn't have to be at the orchestra, right? So 1:40 p.m. for Bessie and then 1:45 p.m. for the rest of you and then you stay until we have finished that all 24. Okay, so that would be about 4.30 to 4.45, I think, if everything goes as planned. All right, so that's housekeeping matter number one. Housekeeping matter #2, we got some sportsmen and sportswomen who will not be with us on Thursday and Friday because they will be with the sister school. Actually, I've been there. I was there two years ago, but of course, not to play volleyball or basketball. I was there to present our English department's developments in Mandarin. In Mandarin. So fortunately, at that time, I got quite a few, like I got several Michels in the class, and I, you know, I summoned those Michels to help me with the Mandarin pronunciation, and of course, I had a private coach, right, for Mandarin. You know who I'm talking about? So for those sportsmen and sportswomen, make sure you come to 6D, EH202 for the supplementary writing assessment, okay, this afternoon. Can we start at 3.50? And then we leave by 5.10. Is that okay? EH202. Bring your composition paper. Also, there are people who miss the listening A, can you do it as homework? 35 minutes, put it in my bookshelf first thing in the morning tomorrow. Okay? I'll send you the recording. And for those people who are doing the assessment today, it would be a good idea for you to refer to your writing on OneNote, because I uploaded partly as well, so you could have a look before you start. Whereas for the others, we'll discuss the performance of the writing tomorrow. Write down your name. So this is the last writing assessment of the term, Letter to the Editor. I don't think we'll spend a lot of time on this. Well, in the past few years, this has appeared quite often in the exam. It's just that we know most of the stuff already. Now, perhaps we could begin with page one, which says revisit the fundamentals. Now, those I think you will be able to do quite quickly. So let's go over that quickly and then we'll move on to the new things that I believe would be more worthwhile. So features of a good body paragraph in an essay. You see that? So the topic sentence must be P and C. I think you all know that. Can somebody tell me? Michelle, can you tell me P and C?</t>
    <phoneticPr fontId="2" type="noConversion"/>
  </si>
  <si>
    <t>Precise. Okay, so that means answering the question and concise. Okay, so precise and concise. Now, I just wanted to say by a precise and concise topic sentence, I mean something that could answer a particular question. Now, for example, in the 2024 examination, there was a question on whether you agree with a dog-friendly trend in restaurants and shopping malls, like basically letting them in. On part of the shopping malls. Then by a precise topic sentence, it would be good for you to test whether it is good enough by changing that whole question into a question, okay? As in, what is good about, or what is bad about... Then you look at your topic sentence to see whether it could answer this question well. So for example, let's say my topic sentence is, firstly, there are people who are allergic to pet hair, okay? Then that actually answers the question, why is, or what is bad about a dog-friendly trend in the shopping malls or restaurants? But some of you might begin by saying, firstly, pets are considered to be quite lovely by many in the population. Right, then that doesn't, you know, that doesn't really answer the question on why it is such a bad idea because maybe the next line is but, right? But then the but should be brought forward, right? So you need to make sure that it does answer the question. That is what is meant by precise. Now, how about the supporting points that may be provided? First of all, we usually want to have what and facts. Usually, we want to have,, We need to have plenty of what in order to illustrate our arguments.</t>
    <phoneticPr fontId="2" type="noConversion"/>
  </si>
  <si>
    <t>Examples. Thank you, Lindsay. And if we don't have any examples, let's say, going back to that question on people being allergic to pet hair, I don't think you will have a famous person in mind who died because of a dog-friendly restaurant. We don't have examples, right? But what can we have? We could have S.</t>
    <phoneticPr fontId="2" type="noConversion"/>
  </si>
  <si>
    <t>Well, statistics. Now, what is, what is, now, statistics is not the answer. But if you attended the classes delivered by the tutorial centers, they would say, we just say, according to statistics from the University of Hong Kong. And then the second paragraph, they say, according to statistics from the government department, and then you just make up something. Actually, you know that you're just making it up. The marker also does. Right? So that's like the last resort. If you don't have anything else, then you could try to use that to bolster your case, but actually it doesn't help much. It's just you. Right? So in this case, actually it is better to have another risk, which is? If it's not an example, it's a scenario. Okay, so a relatable scenario. Now what does that mean? So again, going back to that question on people being allergic. Right? So, or maybe you would start by having a topic sentence which says that people would have negative reactions to it. And then negative reactions, what kinds of negative reactions? Maybe some people just hate it. They despise the smell of certain animals, right? And then maybe you talk about the allergic, like the people being allergic. And then maybe, oh, then they could have these kinds of reactions. In the worst case scenario, they might even blah, blah, blah. Right? So those would be the scenarios. So these are not really real life or famous examples, but a scenario that people can relate to. So relatable scenarios. And of course, combining the examples and scenarios, we usually have some sort of comparison. So that's the third one, the before and after. So from the 2022 writing that you did, many of you chose the question on the four-day work week, right? So right now, the five-day work week, blah, blah, blah, but then if we have the four-day work week, then you have the scenarios, you know, under that comparison framework. Okay? So these are things that we already know. And in an essay, we need to adopt a formal and impersonal style, because, well, it's an essay, and what are some of the features? So we cannot have what? No C.</t>
    <phoneticPr fontId="2" type="noConversion"/>
  </si>
  <si>
    <t>Contractions. Thank you, Lindsay. Informal punctuation marks. What are informal punctuation marks? Such as, what is this? We know that from the dictation. This is relatively informal. Dash, right? How about these, right? These would be considered relatively informal, even these, right? The parentheses, brackets, okay? Because the brackets would be like an afterthought. I didn't think I should include that, but then later on I decided to, right? So those would be relatively informal. And first and second person what? Pronouns, right? pronouns, rhetorical questions, those things. And I think rhetorical questions are worth our attention a little bit more, because sometimes in formal writing or semi-formal writing, you like retelling rhetorical questions. But people used to say, and I think it is still applicable, questions are not arguments. Okay? So you can't expect, even in a speech, you ask a rhetorical question. Actually, you still need to spell it out, eventually, because you can't expect everything to be self-evident, right? So rhetorical questions, even when they can be used in an informal setting, ought to be explained, okay? Otherwise, you're not making any point. All right? So that's an essay, and we're talking about letter to the editor, so we just need to, today's you know, focus specifically, what distinguishes a letter to the editor from an essay? So let's look at that question together. It is the A-level question from 2013. It says that basically you strongly believe that more space in redevelopment projects should be given to sports facilities, and you need to write a letter to the editor expressing your views. Okay? Now, before anything, could you kind of guess whether there is any difference between a letter to the editor and an essay? Now, to some of you, actually, it doesn't really have a difference because sometimes you just leave out ‘yours faithfully Chris Wong” at the end. Towards the middle, you kind of forget that it's a letter, right? And that's why you forget to write the “yours faithfully Chris Wong” right? But just think about it. Are there any differences between a letter to the editor and a formal essay even before we talk about it? Somebody tell me?</t>
    <phoneticPr fontId="2" type="noConversion"/>
  </si>
  <si>
    <t>So in the letter to the editor, Lindsay said, we are responding to something, but then in an essay, we are not. Right? That's what Lindsay said. Do we agree with her? Lucas, do we agree with her? So, apart from that, do we have any other differences between a letter to the editor and an essay? Just now, Lindsay said, you know, a letter to the editor is usually written in response to something else, whereas an essay, maybe you just wrote it on your own part. So, Lucas, any other differences? Which one is more formal?</t>
    <phoneticPr fontId="2" type="noConversion"/>
  </si>
  <si>
    <t>Essay is more formal than a letter to the editor. Does that mean a letter to the editor is informal? No, right? So in terms of the formality, right, a letter to the editor might be semi-formal. So the fact that it is semi-formal, just now Lucas kind of agreed with me. In saying that a letter to the editor is relatively, well, slightly less formal than an essay. And Lindsay said that a letter to the editor is written in response. So based on this, what kind of points, for examples or scenarios, you can give in the letter to the editor, but not in an essay? Now, an essay is supposed to be objective, formal, most formal text type that is required in the examination. A letter to the editor, actually, most of the time, the task nature is similar. It's simply to argue for a guess, right? But based on this, what kinds of points you can give in a letter to the editor, but not in a formal essay? James. Personal experiences. Could you explain what you mean by that? Like what kind of, based on that question, for example.</t>
    <phoneticPr fontId="2" type="noConversion"/>
  </si>
  <si>
    <t>Okay, so we could, as Jayden said, we could use things we saw or we experienced or we felt as examples or supporting points to argue for or against a point. Why? Now, going back to Lindsay's idea, because usually a letter to the editor, if you have actually got your hands on a physical newspaper, it is written by people who have an opinion. to express, he wants the, that is such a strong opinion that he wants the whole city to know about, right? So basically, usually, those people who write the letter to the editor, it would be people who have a strong opinion, right? Maybe he tried to express it privately to someone, but nobody is listening. Then he decided, okay, I need to let the population know about it. So it is quite normal and I think even encouraged for you to have, you know, personal experiences in a letter to the editor. And by personal experiences, that means you also have a role. So let's say we are writing a letter to the editor on maybe too many past papers to be done by senior form students, okay? And then you are a student whose voice has been neglected by school authorities, or by your parents. So you write and you say, I'm a student who is going through exactly this, right? One of the reasons why, the education system is, not successful in certain respects is because blah, blah, blah. And then you talk about what you do in class, right? Supposedly in an English class, you should be in groups every day and speaking to each other and, you know, doing those things. That's what I was taught to teach you, like, to teach you. But then my teacher, right, who claims to be very professional, actually doesn't do that, right? So you actually talk about your personal experiences, okay? So that kind of writing would be appropriate to a letter to the editor. So let's turn to page two, shall we? Now, one and two are very basic. One and two are very basic. So we need to have, dear editor, I prefer capital letter E. Okay, please. Dear editor, and the closing, which is, I don't want to be correcting you on your sincerely and yours faithfully anymore, because that's what I have to do when I'm marking integrated skills. Please. So yours faithfully, Chris Wong, for Dear Editor. Now the second paragraph, in fact, If you ask me, those letters to the editor, even those that you see in the newspapers, have a general formula. So basically you need to state which letter you are responding to if you are, okay? So the first thing, as Lindsay said, is the purpose of writing, okay? And it would be good to kind of include some sort of fake information about the letter or article that you are responding to. So you just make up what are some of the things that I made-up there. I'm writing in response to an article and title blah, blah, blah by Pat Chan dated which day. So the information would include perhaps the title, right? The title, the author's name, and/or the date of publication. Thank you. Now, after that, so this is the first step, remember, like the first line is always to come up with the name of the article. Or the name of the author of a previous letter. And then the second step is usually to give S of the article. Summary. Thank you. A summary of the article. So the second line would be the summary. And your opinion. Okay. So that could also be used in paper 3B when you have to write a letter to respond to somebody who is being unfriendly to your organization. So you just follow these three steps over and over. Now, the last point is the focus of today's lesson, the style. Now, the style, as you can see, what we have just discussed, this means You may take up a specific role if the question doesn't specify one for you, and use first-person pronouns when you share your personal experience. So what I want you to do right now is to look at that question I just discussed with you on page one on redevelopment projects. Basically, your letter should be about giving more space in redevelopment projects to sports facilities. Do we all know what a redevelopment project is? Heritage Society members? What is a development project?</t>
    <phoneticPr fontId="2" type="noConversion"/>
  </si>
  <si>
    <t>An old thing, like a book. You make, now that's a difference. Now we have several, now last year we, I think you certainly enjoyed your English questions and you must have learned a unit on cultural preservation, right? So you learn those words like re something, re something, and re something. So just now I talked about redevelopment. Just what Bricker was suggesting is revitalize or repurpose. So this would be you keep that old structure, right, and give it a new purpose. So just like Blue House, maybe it used to be residential, now it's a museum. Okay, did you go? Did you have the opportunity to go to that little trip? No, not last year. Now, So these would be revitalization by giving new energy to the place. But redevelop, it means you tear down what is in that old district, right? And then you build something new. That's redevelopment. And that's why in redevelopment projects you can decide on the land use, how, like what is the proportion of residential, commercial, recreational, industrial, and so on. Okay, some of you study geography and you should know what I'm talking about. So, imagine that we have a redevelopment project where maybe a cluster of old buildings would be torn down. Now, you are someone and you want to fight for more sports facilities being allocated in terms of land use. Okay? Now, think about that question and in that box with that cute little boy, look at that box. Can you come up with a row or two for the letter to the editor which would help you generate arguments for this point, for this question? So I'll give you a few minutes. Come up with one row, and then based on that row, what kind of arguments would you be able to come up with?</t>
    <phoneticPr fontId="2" type="noConversion"/>
  </si>
  <si>
    <t>Sports enthusiasts. So, do you mean people who do sports regularly? What kind of age? Sixty. You know, every weekend I go swimming in a clubhouse and I can recognize those old ladies. I think they can as well.</t>
    <phoneticPr fontId="2" type="noConversion"/>
  </si>
  <si>
    <t>Retired pickleball player. Why so specific? Because pickleball is just an old man. But how can you, but pickleball is a new sport. So you retire so pickleball.</t>
    <phoneticPr fontId="2" type="noConversion"/>
  </si>
  <si>
    <t>You are a urban renewal authority. Did I get it right? But would they, would they actually argue against their own proposition? I'm just thinking, guessing. District councilor. Now based on these, okay, what are some of the arguments that we could put forward? Now, for example, let's talk about being a student athlete, because I think that's like more of a reachable target compared to having been enlisted for the Hong Kong team. So quite a few of you actually chose athletes, Luca. So what kind of points could you offer if we took up the role of a student athlete?</t>
    <phoneticPr fontId="2" type="noConversion"/>
  </si>
  <si>
    <t>Okay. So I think you got the idea. If we have a role, then we could still come up with the general points, right? General points that would apply to any concerned citizen. But then, I know many of you have trouble with the third. So usually having a role would give you that freedom to generate that third argument, which would be specific to that particular role, and you would be able to talk about your experience. Now, perhaps we could talk about these two are kind of similar, right? People who do sports regularly, many of whom are actually retired because they have all the time in the world, right? So let's say we want to assume the role of an old person. Okay, Aiden again, but maybe someone else. What kind of points could be given? Now, I'm an old person, right? I mean, I'm getting the role. Jacobs.</t>
    <phoneticPr fontId="2" type="noConversion"/>
  </si>
  <si>
    <t xml:space="preserve">Very good. Now you know for many of these old people, retired pickleball players, as you would say, Aiden, a sports facility or a venue is not just a place to do sports, right? It's for socializing. Okay? So if we have something accessible within the community, then it could actually improve our mental, I mean those old people's mental well-being by having more socializing opportunities, right? So everybody in the community can enjoy the fruits of redevelopment, all right? In the clubhouse swimming pool, there is a whirlpool, okay? So it is for those, you know, after you swim, maybe you would like to have a bunch there to have a massage, right? So those old people, they never leave, okay? Now, so what else? Maybe one more district councillor. Lindsay, going back to you. What might the district councillor say? </t>
    <phoneticPr fontId="2" type="noConversion"/>
  </si>
  <si>
    <t>Now, as a district councillor, you might have received some complaints from your constituents, right? So you might want to say, oh, I'm a district councillor of STEP, and then my constituents have been complaining about blah, blah, blah, having to take the bus for 20 minutes to get to the nearest blah, blah, blah, right? So with that role in mind, you would be able to write a letter to the enter with more content. So that's the point I'd like to make, okay? Now, going back, going to page 3, okay? Now, page 3, you see a sample essay. So the first paragraph is just what I shared with you. Okay I'm writing in response to this article it is high time that the value of sports facilities was recognized now it is high time simply means it is time for something to happen but it is high time after that we always use the past tag so you see it is high time that something was recognized okay so uh that's the title of the article and then I just follow the the framework I introduced to you right so we have the title of the article, and then a summary of the article, which is what Mr. John Smith said, and then I agree with you. So we just need these three steps to dive straight into the topic. Now, let's say the second paragraph. Building sports facilities in redeveloped neighborhoods means that the importance of doing sports is officially acknowledged. Now, even though LCSD operates a lot of facilities, they are difficult to book, especially at weekends when they are in very high demand. Now, I just described this in very general terms as a normal citizen. But if I were a coach, then I would pause and say, I am a coach who is in charge of multiple schools, whatever team. And every weekend or every first day of each month, right, I have immense trouble doing this for all the teams that I coach because of the lack of facilities. Then actually you're just repeating yourself, but it seems that you have a lot to say, right? So, but then you need to make sure that you stick to the same rule throughout, okay? So you mention you're a coach, maybe the second point you don't need to mention you're a coach, but you can't be someone else. Okay, so make sure you don't do that. And then on the next page, page 4, right, page 4. So you see at the beginning I mentioned that they are discouraged because they seldom manage to reserve blah, blah, blah. But if there is enough space for sports facilities in every redevelopment project, it will be easier for the citizens to exercise regularly. This will send a clear message to the public that the government is doing something substantial, not merely paying lip service to the cause. What is lip service? So you know that you hate it when the singers lip sync, right? Lip sync as if they play the CD and, you know, they just you know, move their lips without singing. So paying lip service to the cause is a similar concept. Paying lip service, I have already done it. Okay? So, you see, not actually doing something to make a difference. Or just responding to what the boss or what other people are telling you to do, but not doing anything substantial. Okay? Now, just to finish the lesson, You see the next paragraph. Another reason why sports facilities are valuable is that they provide a means for ordinary citizens to enjoy the fruits of redevelopment. So it is very similar to what Jadis was going to say, right? Having these sports facilities would mean that members of the community can enjoy it, right? So if you can just go down a few lines, you will see. A prime example is Leighton Street, which is very near where I live. Now, I just gave myself a role of a citizen of one child, resident of one child, right? When you know Leighton Street, you been there? It used to be known as the, very good, Zachary, Wedding Card Street. There is a very popular song when I was a kid, okay? Before you were here for one, okay? Don't laugh, don't smirk, please. Okay, somebody was smirking. I feel very offended. And, that's about redevelopment. Basically, the street full of old shops was torn down to make way for a shopping arcade. Okay, now there's in total one shop selling wedding cards in Layton Street, that shopping mall. How do I know? Because I went to look, and it was very expensive. So I didn't buy. Okay, so did you see that when you come up with a role, you could actually open up opportunities for some point that you might not have otherwise supported. Okay, so tomorrow, we will carry on with the writing.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</si>
</sst>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等线"/>
      <family val="2"/>
      <scheme val="minor"/>
    </font>
    <font>
      <sz val="12"/>
      <color indexed="8"/>
      <name val="Times New Roman"/>
      <family val="1"/>
    </font>
    <font>
      <sz val="9"/>
      <name val="等线"/>
      <family val="3"/>
      <charset val="134"/>
      <scheme val="minor"/>
    </font>
    <font>
      <b/>
      <sz val="12"/>
      <color theme="1"/>
      <name val="Calibri"/>
      <family val="2"/>
    </font>
    <font>
      <sz val="12"/>
      <color indexed="8"/>
      <name val="Helvetica"/>
      <family val="2"/>
    </font>
    <font>
      <sz val="11"/>
      <color indexed="8"/>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1" fillId="0" borderId="0" xfId="0" applyFont="1"/>
    <xf numFmtId="20" fontId="1" fillId="0" borderId="0" xfId="0" applyNumberFormat="1" applyFont="1"/>
    <xf numFmtId="49" fontId="1" fillId="0" borderId="0" xfId="0" applyNumberFormat="1" applyFont="1"/>
    <xf numFmtId="0" fontId="3" fillId="0" borderId="0" xfId="0" applyFont="1" applyAlignment="1">
      <alignment vertical="center"/>
    </xf>
    <xf numFmtId="0" fontId="4" fillId="0" borderId="0" xfId="0" applyFont="1"/>
    <xf numFmtId="0" fontId="5" fillId="0" borderId="0" xfId="0" applyFont="1"/>
    <xf numFmtId="0" fontId="3"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5"/>
  <sheetViews>
    <sheetView tabSelected="1" topLeftCell="B1" zoomScale="200" zoomScaleNormal="200" workbookViewId="0">
      <pane ySplit="2" topLeftCell="A11" activePane="bottomLeft" state="frozen"/>
      <selection pane="bottomLeft" activeCell="J61" sqref="J61"/>
    </sheetView>
  </sheetViews>
  <sheetFormatPr baseColWidth="10" defaultColWidth="9.1640625" defaultRowHeight="16"/>
  <cols>
    <col min="1" max="1" width="9.1640625" style="4"/>
    <col min="2" max="2" width="12.1640625" style="2" customWidth="1"/>
    <col min="3" max="16384" width="9.1640625" style="2"/>
  </cols>
  <sheetData>
    <row r="1" spans="1:13">
      <c r="A1" s="8" t="s">
        <v>221</v>
      </c>
      <c r="B1" s="8" t="s">
        <v>222</v>
      </c>
      <c r="C1" s="8" t="s">
        <v>223</v>
      </c>
      <c r="D1" s="8" t="s">
        <v>224</v>
      </c>
      <c r="E1" s="8" t="s">
        <v>220</v>
      </c>
      <c r="F1" s="8" t="s">
        <v>211</v>
      </c>
      <c r="G1" s="8"/>
      <c r="H1" s="8"/>
      <c r="I1" s="8"/>
      <c r="J1" s="8"/>
      <c r="K1" s="8"/>
      <c r="L1" s="8"/>
      <c r="M1" s="8"/>
    </row>
    <row r="2" spans="1:13">
      <c r="A2" s="8"/>
      <c r="B2" s="8"/>
      <c r="C2" s="8"/>
      <c r="D2" s="8"/>
      <c r="E2" s="8"/>
      <c r="F2" s="5" t="s">
        <v>212</v>
      </c>
      <c r="G2" s="5" t="s">
        <v>213</v>
      </c>
      <c r="H2" s="5" t="s">
        <v>214</v>
      </c>
      <c r="I2" s="5" t="s">
        <v>215</v>
      </c>
      <c r="J2" s="5" t="s">
        <v>216</v>
      </c>
      <c r="K2" s="5" t="s">
        <v>217</v>
      </c>
      <c r="L2" s="5" t="s">
        <v>218</v>
      </c>
      <c r="M2" s="5" t="s">
        <v>219</v>
      </c>
    </row>
    <row r="3" spans="1:13">
      <c r="A3" s="4" t="s">
        <v>0</v>
      </c>
      <c r="B3" s="2" t="s">
        <v>97</v>
      </c>
      <c r="C3" s="2" t="s">
        <v>31</v>
      </c>
      <c r="D3" s="1" t="s">
        <v>81</v>
      </c>
      <c r="E3" s="2">
        <f>LEN(D3)-LEN(SUBSTITUTE(D3," ",""))+1</f>
        <v>6</v>
      </c>
    </row>
    <row r="4" spans="1:13">
      <c r="A4" s="4" t="s">
        <v>1</v>
      </c>
      <c r="B4" s="2" t="s">
        <v>98</v>
      </c>
      <c r="C4" s="2" t="s">
        <v>28</v>
      </c>
      <c r="D4" s="1" t="s">
        <v>82</v>
      </c>
      <c r="E4" s="2">
        <f t="shared" ref="E4:E67" si="0">LEN(D4)-LEN(SUBSTITUTE(D4," ",""))+1</f>
        <v>4</v>
      </c>
    </row>
    <row r="5" spans="1:13">
      <c r="A5" s="4" t="s">
        <v>2</v>
      </c>
      <c r="B5" s="2" t="s">
        <v>99</v>
      </c>
      <c r="C5" s="2" t="s">
        <v>31</v>
      </c>
      <c r="D5" s="2" t="s">
        <v>231</v>
      </c>
      <c r="E5" s="2">
        <f t="shared" si="0"/>
        <v>691</v>
      </c>
    </row>
    <row r="6" spans="1:13">
      <c r="A6" s="4" t="s">
        <v>3</v>
      </c>
      <c r="B6" s="2" t="s">
        <v>100</v>
      </c>
      <c r="C6" s="2" t="s">
        <v>87</v>
      </c>
      <c r="D6" s="1" t="s">
        <v>83</v>
      </c>
      <c r="E6" s="2">
        <f t="shared" si="0"/>
        <v>1</v>
      </c>
    </row>
    <row r="7" spans="1:13">
      <c r="A7" s="4" t="s">
        <v>4</v>
      </c>
      <c r="B7" s="2" t="s">
        <v>101</v>
      </c>
      <c r="C7" s="2" t="s">
        <v>31</v>
      </c>
      <c r="D7" s="1" t="s">
        <v>232</v>
      </c>
      <c r="E7" s="2">
        <f t="shared" si="0"/>
        <v>285</v>
      </c>
    </row>
    <row r="8" spans="1:13">
      <c r="A8" s="4" t="s">
        <v>5</v>
      </c>
      <c r="B8" s="2" t="s">
        <v>102</v>
      </c>
      <c r="C8" s="2" t="s">
        <v>88</v>
      </c>
      <c r="D8" s="1" t="s">
        <v>84</v>
      </c>
      <c r="E8" s="2">
        <f t="shared" si="0"/>
        <v>1</v>
      </c>
    </row>
    <row r="9" spans="1:13">
      <c r="A9" s="4" t="s">
        <v>6</v>
      </c>
      <c r="B9" s="2" t="s">
        <v>103</v>
      </c>
      <c r="C9" s="2" t="s">
        <v>31</v>
      </c>
      <c r="D9" s="1" t="s">
        <v>233</v>
      </c>
      <c r="E9" s="2">
        <f t="shared" si="0"/>
        <v>57</v>
      </c>
      <c r="L9" s="2">
        <v>1</v>
      </c>
    </row>
    <row r="10" spans="1:13">
      <c r="A10" s="4" t="s">
        <v>7</v>
      </c>
      <c r="B10" s="2" t="s">
        <v>104</v>
      </c>
      <c r="C10" s="2" t="s">
        <v>11</v>
      </c>
      <c r="D10" s="1" t="s">
        <v>85</v>
      </c>
      <c r="E10" s="2">
        <f t="shared" si="0"/>
        <v>1</v>
      </c>
    </row>
    <row r="11" spans="1:13">
      <c r="A11" s="4" t="s">
        <v>8</v>
      </c>
      <c r="B11" s="2" t="s">
        <v>105</v>
      </c>
      <c r="C11" s="2" t="s">
        <v>31</v>
      </c>
      <c r="D11" s="1" t="s">
        <v>234</v>
      </c>
      <c r="E11" s="2">
        <f t="shared" si="0"/>
        <v>374</v>
      </c>
    </row>
    <row r="12" spans="1:13">
      <c r="A12" s="4" t="s">
        <v>9</v>
      </c>
      <c r="B12" s="2" t="s">
        <v>106</v>
      </c>
      <c r="C12" s="2" t="s">
        <v>88</v>
      </c>
      <c r="D12" s="1" t="s">
        <v>86</v>
      </c>
      <c r="E12" s="2">
        <f t="shared" si="0"/>
        <v>1</v>
      </c>
    </row>
    <row r="13" spans="1:13">
      <c r="A13" s="4" t="s">
        <v>10</v>
      </c>
      <c r="B13" s="2" t="s">
        <v>107</v>
      </c>
      <c r="C13" s="2" t="s">
        <v>31</v>
      </c>
      <c r="D13" s="1" t="s">
        <v>235</v>
      </c>
      <c r="E13" s="2">
        <f t="shared" si="0"/>
        <v>367</v>
      </c>
    </row>
    <row r="14" spans="1:13">
      <c r="A14" s="4" t="s">
        <v>12</v>
      </c>
      <c r="B14" s="2" t="s">
        <v>108</v>
      </c>
      <c r="C14" s="2" t="s">
        <v>15</v>
      </c>
      <c r="D14" s="1" t="s">
        <v>89</v>
      </c>
      <c r="E14" s="2">
        <f t="shared" si="0"/>
        <v>3</v>
      </c>
    </row>
    <row r="15" spans="1:13">
      <c r="A15" s="4">
        <v>13</v>
      </c>
      <c r="B15" s="2" t="s">
        <v>109</v>
      </c>
      <c r="C15" s="2" t="s">
        <v>31</v>
      </c>
      <c r="D15" s="1" t="s">
        <v>90</v>
      </c>
      <c r="E15" s="2">
        <f t="shared" si="0"/>
        <v>11</v>
      </c>
      <c r="F15" s="2">
        <v>1</v>
      </c>
    </row>
    <row r="16" spans="1:13">
      <c r="A16" s="4" t="s">
        <v>13</v>
      </c>
      <c r="B16" s="2" t="s">
        <v>110</v>
      </c>
      <c r="C16" s="2" t="s">
        <v>15</v>
      </c>
      <c r="D16" s="1" t="s">
        <v>91</v>
      </c>
      <c r="E16" s="2">
        <f t="shared" si="0"/>
        <v>29</v>
      </c>
    </row>
    <row r="17" spans="1:12">
      <c r="A17" s="4" t="s">
        <v>14</v>
      </c>
      <c r="B17" s="2" t="s">
        <v>111</v>
      </c>
      <c r="C17" s="2" t="s">
        <v>31</v>
      </c>
      <c r="D17" s="1" t="s">
        <v>236</v>
      </c>
      <c r="E17" s="2">
        <f t="shared" si="0"/>
        <v>98</v>
      </c>
      <c r="L17" s="2">
        <v>1</v>
      </c>
    </row>
    <row r="18" spans="1:12">
      <c r="A18" s="4" t="s">
        <v>16</v>
      </c>
      <c r="B18" s="2" t="s">
        <v>112</v>
      </c>
      <c r="C18" s="2" t="s">
        <v>93</v>
      </c>
      <c r="D18" s="1" t="s">
        <v>92</v>
      </c>
      <c r="E18" s="2">
        <f t="shared" si="0"/>
        <v>1</v>
      </c>
    </row>
    <row r="19" spans="1:12">
      <c r="A19" s="4" t="s">
        <v>17</v>
      </c>
      <c r="B19" s="2" t="s">
        <v>113</v>
      </c>
      <c r="C19" s="2" t="s">
        <v>31</v>
      </c>
      <c r="D19" s="1" t="s">
        <v>237</v>
      </c>
      <c r="E19" s="2">
        <f t="shared" si="0"/>
        <v>194</v>
      </c>
      <c r="F19" s="2">
        <v>1</v>
      </c>
    </row>
    <row r="20" spans="1:12">
      <c r="A20" s="4" t="s">
        <v>18</v>
      </c>
      <c r="B20" s="2" t="s">
        <v>114</v>
      </c>
      <c r="C20" s="2" t="s">
        <v>95</v>
      </c>
      <c r="D20" s="1" t="s">
        <v>94</v>
      </c>
      <c r="E20" s="2">
        <f t="shared" si="0"/>
        <v>13</v>
      </c>
    </row>
    <row r="21" spans="1:12">
      <c r="A21" s="4" t="s">
        <v>19</v>
      </c>
      <c r="B21" s="2" t="s">
        <v>115</v>
      </c>
      <c r="C21" s="2" t="s">
        <v>31</v>
      </c>
      <c r="D21" s="1" t="s">
        <v>238</v>
      </c>
      <c r="E21" s="2">
        <f t="shared" si="0"/>
        <v>757</v>
      </c>
    </row>
    <row r="22" spans="1:12">
      <c r="A22" s="4" t="s">
        <v>20</v>
      </c>
      <c r="B22" s="2" t="s">
        <v>116</v>
      </c>
      <c r="C22" s="2" t="s">
        <v>28</v>
      </c>
      <c r="D22" s="1" t="s">
        <v>96</v>
      </c>
      <c r="E22" s="2">
        <f t="shared" si="0"/>
        <v>8</v>
      </c>
    </row>
    <row r="23" spans="1:12">
      <c r="A23" s="4" t="s">
        <v>21</v>
      </c>
      <c r="B23" s="2" t="s">
        <v>126</v>
      </c>
      <c r="C23" s="2" t="s">
        <v>31</v>
      </c>
      <c r="D23" s="2" t="s">
        <v>239</v>
      </c>
      <c r="E23" s="2">
        <f t="shared" si="0"/>
        <v>309</v>
      </c>
    </row>
    <row r="24" spans="1:12">
      <c r="A24" s="4" t="s">
        <v>22</v>
      </c>
      <c r="B24" s="2" t="s">
        <v>127</v>
      </c>
      <c r="C24" s="2" t="s">
        <v>28</v>
      </c>
      <c r="D24" s="1" t="s">
        <v>32</v>
      </c>
      <c r="E24" s="2">
        <f t="shared" si="0"/>
        <v>2</v>
      </c>
    </row>
    <row r="25" spans="1:12">
      <c r="A25" s="4" t="s">
        <v>23</v>
      </c>
      <c r="B25" s="2" t="s">
        <v>117</v>
      </c>
      <c r="C25" s="2" t="s">
        <v>31</v>
      </c>
      <c r="D25" s="1" t="s">
        <v>128</v>
      </c>
      <c r="E25" s="2">
        <f t="shared" si="0"/>
        <v>10</v>
      </c>
    </row>
    <row r="26" spans="1:12">
      <c r="A26" s="4" t="s">
        <v>24</v>
      </c>
      <c r="B26" s="2" t="s">
        <v>118</v>
      </c>
      <c r="C26" s="2" t="s">
        <v>28</v>
      </c>
      <c r="D26" s="1" t="s">
        <v>32</v>
      </c>
      <c r="E26" s="2">
        <f t="shared" si="0"/>
        <v>2</v>
      </c>
    </row>
    <row r="27" spans="1:12">
      <c r="A27" s="4" t="s">
        <v>26</v>
      </c>
      <c r="B27" s="2" t="s">
        <v>119</v>
      </c>
      <c r="C27" s="2" t="s">
        <v>31</v>
      </c>
      <c r="D27" s="1" t="s">
        <v>129</v>
      </c>
      <c r="E27" s="2">
        <f t="shared" si="0"/>
        <v>2</v>
      </c>
    </row>
    <row r="28" spans="1:12">
      <c r="A28" s="4" t="s">
        <v>27</v>
      </c>
      <c r="B28" s="2" t="s">
        <v>120</v>
      </c>
      <c r="C28" s="2" t="s">
        <v>28</v>
      </c>
      <c r="D28" s="1" t="s">
        <v>32</v>
      </c>
      <c r="E28" s="2">
        <f t="shared" si="0"/>
        <v>2</v>
      </c>
    </row>
    <row r="29" spans="1:12">
      <c r="A29" s="4" t="s">
        <v>30</v>
      </c>
      <c r="B29" s="2" t="s">
        <v>121</v>
      </c>
      <c r="C29" s="2" t="s">
        <v>31</v>
      </c>
      <c r="D29" s="1" t="s">
        <v>130</v>
      </c>
      <c r="E29" s="2">
        <f t="shared" si="0"/>
        <v>10</v>
      </c>
    </row>
    <row r="30" spans="1:12">
      <c r="A30" s="4" t="s">
        <v>37</v>
      </c>
      <c r="B30" s="2" t="s">
        <v>122</v>
      </c>
      <c r="C30" s="2" t="s">
        <v>28</v>
      </c>
      <c r="D30" s="1" t="s">
        <v>32</v>
      </c>
      <c r="E30" s="2">
        <f t="shared" si="0"/>
        <v>2</v>
      </c>
    </row>
    <row r="31" spans="1:12">
      <c r="A31" s="4" t="s">
        <v>38</v>
      </c>
      <c r="B31" s="2" t="s">
        <v>123</v>
      </c>
      <c r="C31" s="2" t="s">
        <v>31</v>
      </c>
      <c r="D31" s="1" t="s">
        <v>131</v>
      </c>
      <c r="E31" s="2">
        <f t="shared" si="0"/>
        <v>3</v>
      </c>
    </row>
    <row r="32" spans="1:12">
      <c r="A32" s="4" t="s">
        <v>39</v>
      </c>
      <c r="B32" s="2" t="s">
        <v>124</v>
      </c>
      <c r="C32" s="2" t="s">
        <v>28</v>
      </c>
      <c r="D32" s="1" t="s">
        <v>32</v>
      </c>
      <c r="E32" s="2">
        <f t="shared" si="0"/>
        <v>2</v>
      </c>
    </row>
    <row r="33" spans="1:12">
      <c r="A33" s="4" t="s">
        <v>40</v>
      </c>
      <c r="B33" s="2" t="s">
        <v>125</v>
      </c>
      <c r="C33" s="2" t="s">
        <v>31</v>
      </c>
      <c r="D33" s="1" t="s">
        <v>132</v>
      </c>
      <c r="E33" s="2">
        <f t="shared" si="0"/>
        <v>19</v>
      </c>
    </row>
    <row r="34" spans="1:12">
      <c r="A34" s="4" t="s">
        <v>41</v>
      </c>
      <c r="B34" s="2" t="s">
        <v>144</v>
      </c>
      <c r="C34" s="2" t="s">
        <v>34</v>
      </c>
      <c r="D34" s="1" t="s">
        <v>133</v>
      </c>
      <c r="E34" s="2">
        <f t="shared" si="0"/>
        <v>6</v>
      </c>
    </row>
    <row r="35" spans="1:12">
      <c r="A35" s="4" t="s">
        <v>42</v>
      </c>
      <c r="B35" s="2" t="s">
        <v>145</v>
      </c>
      <c r="C35" s="2" t="s">
        <v>31</v>
      </c>
      <c r="D35" s="1" t="s">
        <v>134</v>
      </c>
      <c r="E35" s="2">
        <f t="shared" si="0"/>
        <v>1</v>
      </c>
    </row>
    <row r="36" spans="1:12">
      <c r="A36" s="4" t="s">
        <v>43</v>
      </c>
      <c r="B36" s="2" t="s">
        <v>146</v>
      </c>
      <c r="C36" s="2" t="s">
        <v>34</v>
      </c>
      <c r="D36" s="1" t="s">
        <v>135</v>
      </c>
      <c r="E36" s="2">
        <f t="shared" si="0"/>
        <v>2</v>
      </c>
    </row>
    <row r="37" spans="1:12">
      <c r="A37" s="4" t="s">
        <v>44</v>
      </c>
      <c r="B37" s="2" t="s">
        <v>147</v>
      </c>
      <c r="C37" s="2" t="s">
        <v>31</v>
      </c>
      <c r="D37" s="1" t="s">
        <v>136</v>
      </c>
      <c r="E37" s="2">
        <f t="shared" si="0"/>
        <v>3</v>
      </c>
    </row>
    <row r="38" spans="1:12">
      <c r="A38" s="4" t="s">
        <v>45</v>
      </c>
      <c r="B38" s="2" t="s">
        <v>148</v>
      </c>
      <c r="C38" s="2" t="s">
        <v>158</v>
      </c>
      <c r="D38" s="1" t="s">
        <v>137</v>
      </c>
      <c r="E38" s="2">
        <f t="shared" si="0"/>
        <v>1</v>
      </c>
    </row>
    <row r="39" spans="1:12">
      <c r="A39" s="4" t="s">
        <v>46</v>
      </c>
      <c r="B39" s="2" t="s">
        <v>149</v>
      </c>
      <c r="C39" s="2" t="s">
        <v>31</v>
      </c>
      <c r="D39" s="1" t="s">
        <v>138</v>
      </c>
      <c r="E39" s="2">
        <f t="shared" si="0"/>
        <v>19</v>
      </c>
    </row>
    <row r="40" spans="1:12">
      <c r="A40" s="4" t="s">
        <v>47</v>
      </c>
      <c r="B40" s="2" t="s">
        <v>150</v>
      </c>
      <c r="C40" s="2" t="s">
        <v>139</v>
      </c>
      <c r="D40" s="1" t="s">
        <v>140</v>
      </c>
      <c r="E40" s="2">
        <f t="shared" si="0"/>
        <v>5</v>
      </c>
    </row>
    <row r="41" spans="1:12">
      <c r="A41" s="4" t="s">
        <v>48</v>
      </c>
      <c r="B41" s="2" t="s">
        <v>151</v>
      </c>
      <c r="C41" s="2" t="s">
        <v>25</v>
      </c>
      <c r="D41" s="1" t="s">
        <v>141</v>
      </c>
      <c r="E41" s="2">
        <f t="shared" si="0"/>
        <v>2</v>
      </c>
    </row>
    <row r="42" spans="1:12">
      <c r="A42" s="4" t="s">
        <v>49</v>
      </c>
      <c r="B42" s="3" t="s">
        <v>152</v>
      </c>
      <c r="C42" s="2" t="s">
        <v>31</v>
      </c>
      <c r="D42" s="1" t="s">
        <v>142</v>
      </c>
      <c r="E42" s="2">
        <f t="shared" si="0"/>
        <v>10</v>
      </c>
      <c r="L42" s="2">
        <v>1</v>
      </c>
    </row>
    <row r="43" spans="1:12">
      <c r="A43" s="4" t="s">
        <v>50</v>
      </c>
      <c r="B43" s="3" t="s">
        <v>153</v>
      </c>
      <c r="C43" s="2" t="s">
        <v>35</v>
      </c>
      <c r="D43" s="2" t="s">
        <v>143</v>
      </c>
      <c r="E43" s="2">
        <f t="shared" si="0"/>
        <v>3</v>
      </c>
    </row>
    <row r="44" spans="1:12">
      <c r="A44" s="4" t="s">
        <v>51</v>
      </c>
      <c r="B44" s="2" t="s">
        <v>154</v>
      </c>
      <c r="C44" s="2" t="s">
        <v>31</v>
      </c>
      <c r="D44" s="1" t="s">
        <v>240</v>
      </c>
      <c r="E44" s="2">
        <f t="shared" si="0"/>
        <v>39</v>
      </c>
    </row>
    <row r="45" spans="1:12">
      <c r="A45" s="4" t="s">
        <v>52</v>
      </c>
      <c r="B45" s="2" t="s">
        <v>155</v>
      </c>
      <c r="C45" s="2" t="s">
        <v>162</v>
      </c>
      <c r="D45" s="1" t="s">
        <v>159</v>
      </c>
      <c r="E45" s="2">
        <f t="shared" si="0"/>
        <v>3</v>
      </c>
    </row>
    <row r="46" spans="1:12">
      <c r="A46" s="4" t="s">
        <v>53</v>
      </c>
      <c r="B46" s="2" t="s">
        <v>156</v>
      </c>
      <c r="C46" s="2" t="s">
        <v>31</v>
      </c>
      <c r="D46" s="1" t="s">
        <v>241</v>
      </c>
      <c r="E46" s="2">
        <f t="shared" si="0"/>
        <v>28</v>
      </c>
      <c r="H46" s="2">
        <v>1</v>
      </c>
    </row>
    <row r="47" spans="1:12">
      <c r="A47" s="4" t="s">
        <v>54</v>
      </c>
      <c r="B47" s="2" t="s">
        <v>157</v>
      </c>
      <c r="C47" s="2" t="s">
        <v>162</v>
      </c>
      <c r="D47" s="1" t="s">
        <v>160</v>
      </c>
      <c r="E47" s="2">
        <f t="shared" si="0"/>
        <v>7</v>
      </c>
    </row>
    <row r="48" spans="1:12">
      <c r="A48" s="4" t="s">
        <v>55</v>
      </c>
      <c r="B48" s="2" t="s">
        <v>165</v>
      </c>
      <c r="C48" s="2" t="s">
        <v>31</v>
      </c>
      <c r="D48" s="1" t="s">
        <v>161</v>
      </c>
      <c r="E48" s="2">
        <f t="shared" si="0"/>
        <v>57</v>
      </c>
      <c r="L48" s="2">
        <v>1</v>
      </c>
    </row>
    <row r="49" spans="1:12">
      <c r="A49" s="4" t="s">
        <v>56</v>
      </c>
      <c r="B49" s="2" t="s">
        <v>166</v>
      </c>
      <c r="C49" s="2" t="s">
        <v>164</v>
      </c>
      <c r="D49" s="2" t="s">
        <v>163</v>
      </c>
      <c r="E49" s="2">
        <f t="shared" si="0"/>
        <v>6</v>
      </c>
    </row>
    <row r="50" spans="1:12">
      <c r="A50" s="4" t="s">
        <v>57</v>
      </c>
      <c r="B50" s="2" t="s">
        <v>167</v>
      </c>
      <c r="C50" s="2" t="s">
        <v>31</v>
      </c>
      <c r="D50" s="1" t="s">
        <v>242</v>
      </c>
      <c r="E50" s="2">
        <f t="shared" si="0"/>
        <v>102</v>
      </c>
    </row>
    <row r="51" spans="1:12">
      <c r="A51" s="4" t="s">
        <v>58</v>
      </c>
      <c r="B51" s="2" t="s">
        <v>180</v>
      </c>
      <c r="C51" s="2" t="s">
        <v>170</v>
      </c>
      <c r="D51" s="1" t="s">
        <v>169</v>
      </c>
      <c r="E51" s="2">
        <f t="shared" si="0"/>
        <v>5</v>
      </c>
    </row>
    <row r="52" spans="1:12">
      <c r="A52" s="4" t="s">
        <v>59</v>
      </c>
      <c r="B52" s="2" t="s">
        <v>168</v>
      </c>
      <c r="C52" s="2" t="s">
        <v>31</v>
      </c>
      <c r="D52" s="1" t="s">
        <v>171</v>
      </c>
      <c r="E52" s="2">
        <f t="shared" si="0"/>
        <v>18</v>
      </c>
    </row>
    <row r="53" spans="1:12">
      <c r="A53" s="4" t="s">
        <v>60</v>
      </c>
      <c r="B53" s="2" t="s">
        <v>173</v>
      </c>
      <c r="C53" s="2" t="s">
        <v>34</v>
      </c>
      <c r="D53" s="1" t="s">
        <v>172</v>
      </c>
      <c r="E53" s="2">
        <f t="shared" si="0"/>
        <v>17</v>
      </c>
    </row>
    <row r="54" spans="1:12">
      <c r="A54" s="4" t="s">
        <v>61</v>
      </c>
      <c r="B54" s="2" t="s">
        <v>176</v>
      </c>
      <c r="C54" s="2" t="s">
        <v>31</v>
      </c>
      <c r="D54" s="2" t="s">
        <v>175</v>
      </c>
      <c r="E54" s="2">
        <f t="shared" si="0"/>
        <v>8</v>
      </c>
      <c r="G54" s="2">
        <v>1</v>
      </c>
    </row>
    <row r="55" spans="1:12">
      <c r="A55" s="4" t="s">
        <v>62</v>
      </c>
      <c r="B55" s="2" t="s">
        <v>177</v>
      </c>
      <c r="C55" s="2" t="s">
        <v>34</v>
      </c>
      <c r="D55" s="2" t="s">
        <v>179</v>
      </c>
      <c r="E55" s="2">
        <f t="shared" si="0"/>
        <v>3</v>
      </c>
    </row>
    <row r="56" spans="1:12">
      <c r="A56" s="4" t="s">
        <v>63</v>
      </c>
      <c r="B56" s="2" t="s">
        <v>178</v>
      </c>
      <c r="C56" s="2" t="s">
        <v>31</v>
      </c>
      <c r="D56" s="1" t="s">
        <v>181</v>
      </c>
      <c r="E56" s="2">
        <f t="shared" si="0"/>
        <v>2</v>
      </c>
    </row>
    <row r="57" spans="1:12">
      <c r="A57" s="4" t="s">
        <v>64</v>
      </c>
      <c r="B57" s="2" t="s">
        <v>174</v>
      </c>
      <c r="C57" s="2" t="s">
        <v>34</v>
      </c>
      <c r="D57" s="1" t="s">
        <v>182</v>
      </c>
      <c r="E57" s="2">
        <f t="shared" si="0"/>
        <v>2</v>
      </c>
    </row>
    <row r="58" spans="1:12">
      <c r="A58" s="4" t="s">
        <v>65</v>
      </c>
      <c r="B58" s="2" t="s">
        <v>186</v>
      </c>
      <c r="C58" s="2" t="s">
        <v>31</v>
      </c>
      <c r="D58" s="1" t="s">
        <v>183</v>
      </c>
      <c r="E58" s="2">
        <f t="shared" si="0"/>
        <v>15</v>
      </c>
      <c r="L58" s="2">
        <v>1</v>
      </c>
    </row>
    <row r="59" spans="1:12">
      <c r="A59" s="4" t="s">
        <v>66</v>
      </c>
      <c r="B59" s="2" t="s">
        <v>187</v>
      </c>
      <c r="C59" s="2" t="s">
        <v>88</v>
      </c>
      <c r="D59" s="1" t="s">
        <v>184</v>
      </c>
      <c r="E59" s="2">
        <f t="shared" si="0"/>
        <v>12</v>
      </c>
    </row>
    <row r="60" spans="1:12">
      <c r="A60" s="4" t="s">
        <v>67</v>
      </c>
      <c r="B60" s="2" t="s">
        <v>188</v>
      </c>
      <c r="C60" s="2" t="s">
        <v>31</v>
      </c>
      <c r="D60" s="1" t="s">
        <v>185</v>
      </c>
      <c r="E60" s="2">
        <f t="shared" si="0"/>
        <v>18</v>
      </c>
    </row>
    <row r="61" spans="1:12">
      <c r="A61" s="4" t="s">
        <v>68</v>
      </c>
      <c r="B61" s="2" t="s">
        <v>189</v>
      </c>
      <c r="C61" s="2" t="s">
        <v>88</v>
      </c>
      <c r="D61" s="1" t="s">
        <v>29</v>
      </c>
      <c r="E61" s="2">
        <f t="shared" si="0"/>
        <v>1</v>
      </c>
    </row>
    <row r="62" spans="1:12">
      <c r="A62" s="4" t="s">
        <v>69</v>
      </c>
      <c r="B62" s="2" t="s">
        <v>190</v>
      </c>
      <c r="C62" s="2" t="s">
        <v>31</v>
      </c>
      <c r="D62" s="1" t="s">
        <v>243</v>
      </c>
      <c r="E62" s="2">
        <f t="shared" si="0"/>
        <v>152</v>
      </c>
    </row>
    <row r="63" spans="1:12">
      <c r="A63" s="4" t="s">
        <v>70</v>
      </c>
      <c r="B63" s="2" t="s">
        <v>192</v>
      </c>
      <c r="C63" s="2" t="s">
        <v>191</v>
      </c>
      <c r="D63" s="1" t="s">
        <v>193</v>
      </c>
      <c r="E63" s="2">
        <f t="shared" si="0"/>
        <v>8</v>
      </c>
    </row>
    <row r="64" spans="1:12">
      <c r="A64" s="4" t="s">
        <v>71</v>
      </c>
      <c r="B64" s="2" t="s">
        <v>194</v>
      </c>
      <c r="C64" s="2" t="s">
        <v>31</v>
      </c>
      <c r="D64" s="2" t="s">
        <v>244</v>
      </c>
      <c r="E64" s="2">
        <f t="shared" si="0"/>
        <v>143</v>
      </c>
    </row>
    <row r="65" spans="1:13">
      <c r="A65" s="4" t="s">
        <v>72</v>
      </c>
      <c r="B65" s="2" t="s">
        <v>195</v>
      </c>
      <c r="C65" s="2" t="s">
        <v>88</v>
      </c>
      <c r="D65" s="1" t="s">
        <v>36</v>
      </c>
      <c r="E65" s="2">
        <f t="shared" si="0"/>
        <v>1</v>
      </c>
    </row>
    <row r="66" spans="1:13">
      <c r="A66" s="4" t="s">
        <v>73</v>
      </c>
      <c r="B66" s="2" t="s">
        <v>196</v>
      </c>
      <c r="C66" s="2" t="s">
        <v>31</v>
      </c>
      <c r="D66" s="1" t="s">
        <v>245</v>
      </c>
      <c r="E66" s="2">
        <f t="shared" si="0"/>
        <v>834</v>
      </c>
    </row>
    <row r="67" spans="1:13">
      <c r="A67" s="4" t="s">
        <v>74</v>
      </c>
      <c r="B67" s="2" t="s">
        <v>202</v>
      </c>
      <c r="C67" s="2" t="s">
        <v>33</v>
      </c>
      <c r="D67" s="1" t="s">
        <v>197</v>
      </c>
      <c r="E67" s="2">
        <f t="shared" si="0"/>
        <v>5</v>
      </c>
    </row>
    <row r="68" spans="1:13">
      <c r="A68" s="4" t="s">
        <v>75</v>
      </c>
      <c r="B68" s="2" t="s">
        <v>203</v>
      </c>
      <c r="C68" s="2" t="s">
        <v>31</v>
      </c>
      <c r="D68" s="1" t="s">
        <v>198</v>
      </c>
      <c r="E68" s="2">
        <f t="shared" ref="E68:E73" si="1">LEN(D68)-LEN(SUBSTITUTE(D68," ",""))+1</f>
        <v>30</v>
      </c>
    </row>
    <row r="69" spans="1:13">
      <c r="A69" s="4" t="s">
        <v>76</v>
      </c>
      <c r="B69" s="2" t="s">
        <v>204</v>
      </c>
      <c r="C69" s="2" t="s">
        <v>208</v>
      </c>
      <c r="D69" s="1" t="s">
        <v>199</v>
      </c>
      <c r="E69" s="2">
        <f t="shared" si="1"/>
        <v>2</v>
      </c>
    </row>
    <row r="70" spans="1:13">
      <c r="A70" s="4" t="s">
        <v>77</v>
      </c>
      <c r="B70" s="2" t="s">
        <v>210</v>
      </c>
      <c r="C70" s="2" t="s">
        <v>31</v>
      </c>
      <c r="D70" s="1" t="s">
        <v>209</v>
      </c>
      <c r="E70" s="2">
        <f t="shared" si="1"/>
        <v>18</v>
      </c>
    </row>
    <row r="71" spans="1:13">
      <c r="A71" s="4" t="s">
        <v>78</v>
      </c>
      <c r="B71" s="2" t="s">
        <v>205</v>
      </c>
      <c r="C71" s="2" t="s">
        <v>28</v>
      </c>
      <c r="D71" s="1" t="s">
        <v>200</v>
      </c>
      <c r="E71" s="2">
        <f t="shared" si="1"/>
        <v>6</v>
      </c>
    </row>
    <row r="72" spans="1:13">
      <c r="A72" s="4" t="s">
        <v>79</v>
      </c>
      <c r="B72" s="2" t="s">
        <v>206</v>
      </c>
      <c r="C72" s="2" t="s">
        <v>31</v>
      </c>
      <c r="D72" s="1" t="s">
        <v>201</v>
      </c>
      <c r="E72" s="2">
        <f t="shared" si="1"/>
        <v>14</v>
      </c>
    </row>
    <row r="73" spans="1:13">
      <c r="A73" s="4" t="s">
        <v>80</v>
      </c>
      <c r="B73" s="2" t="s">
        <v>207</v>
      </c>
      <c r="C73" s="2" t="s">
        <v>28</v>
      </c>
      <c r="D73" s="1" t="s">
        <v>36</v>
      </c>
      <c r="E73" s="2">
        <f t="shared" si="1"/>
        <v>1</v>
      </c>
    </row>
    <row r="74" spans="1:13">
      <c r="D74" s="1"/>
    </row>
    <row r="75" spans="1:13">
      <c r="D75" s="6" t="s">
        <v>225</v>
      </c>
      <c r="E75" s="2">
        <f>SUM(E3:E73)</f>
        <v>4874</v>
      </c>
      <c r="F75" s="2">
        <f t="shared" ref="F75:M75" si="2">SUM(F3:F73)</f>
        <v>2</v>
      </c>
      <c r="G75" s="2">
        <f t="shared" si="2"/>
        <v>1</v>
      </c>
      <c r="H75" s="2">
        <f t="shared" si="2"/>
        <v>1</v>
      </c>
      <c r="I75" s="2">
        <f t="shared" si="2"/>
        <v>0</v>
      </c>
      <c r="J75" s="2">
        <f t="shared" si="2"/>
        <v>0</v>
      </c>
      <c r="K75" s="2">
        <f t="shared" si="2"/>
        <v>0</v>
      </c>
      <c r="L75" s="2">
        <f t="shared" si="2"/>
        <v>5</v>
      </c>
      <c r="M75" s="2">
        <f t="shared" si="2"/>
        <v>0</v>
      </c>
    </row>
    <row r="76" spans="1:13">
      <c r="D76" s="7" t="s">
        <v>226</v>
      </c>
      <c r="E76" s="2">
        <f>SUMIF(C3:C73, "Teacher", E3:E73)</f>
        <v>4704</v>
      </c>
    </row>
    <row r="77" spans="1:13">
      <c r="D77" s="7" t="s">
        <v>227</v>
      </c>
      <c r="E77" s="2">
        <f>E75-E76</f>
        <v>170</v>
      </c>
    </row>
    <row r="78" spans="1:13">
      <c r="D78" s="7" t="s">
        <v>228</v>
      </c>
      <c r="E78" s="2">
        <v>71</v>
      </c>
    </row>
    <row r="79" spans="1:13">
      <c r="D79" s="7" t="s">
        <v>229</v>
      </c>
      <c r="E79" s="7">
        <f>COUNTIF(C3:C73, "Teacher")</f>
        <v>35</v>
      </c>
    </row>
    <row r="80" spans="1:13">
      <c r="D80" s="7" t="s">
        <v>230</v>
      </c>
      <c r="E80" s="2">
        <f>E78-E79</f>
        <v>36</v>
      </c>
    </row>
    <row r="81" spans="4:4">
      <c r="D81" s="1"/>
    </row>
    <row r="84" spans="4:4">
      <c r="D84" s="1"/>
    </row>
    <row r="85" spans="4:4">
      <c r="D85" s="1"/>
    </row>
    <row r="86" spans="4:4">
      <c r="D86" s="1"/>
    </row>
    <row r="87" spans="4:4">
      <c r="D87" s="1"/>
    </row>
    <row r="88" spans="4:4">
      <c r="D88" s="1"/>
    </row>
    <row r="89" spans="4:4">
      <c r="D89" s="1"/>
    </row>
    <row r="91" spans="4:4">
      <c r="D91" s="1"/>
    </row>
    <row r="92" spans="4:4">
      <c r="D92" s="1"/>
    </row>
    <row r="94" spans="4:4">
      <c r="D94" s="1"/>
    </row>
    <row r="95" spans="4:4">
      <c r="D95" s="1"/>
    </row>
    <row r="97" spans="4:4">
      <c r="D97" s="1"/>
    </row>
    <row r="98" spans="4:4">
      <c r="D98" s="1"/>
    </row>
    <row r="99" spans="4:4">
      <c r="D99" s="1"/>
    </row>
    <row r="100" spans="4:4">
      <c r="D100" s="1"/>
    </row>
    <row r="102" spans="4:4">
      <c r="D102" s="1"/>
    </row>
    <row r="103" spans="4:4">
      <c r="D103" s="1"/>
    </row>
    <row r="104" spans="4:4">
      <c r="D104" s="1"/>
    </row>
    <row r="105" spans="4:4">
      <c r="D105" s="1"/>
    </row>
    <row r="107" spans="4:4">
      <c r="D107" s="1"/>
    </row>
    <row r="109" spans="4:4">
      <c r="D109" s="1"/>
    </row>
    <row r="110" spans="4:4">
      <c r="D110" s="1"/>
    </row>
    <row r="111" spans="4:4">
      <c r="D111" s="1"/>
    </row>
    <row r="113" spans="2:4">
      <c r="D113" s="1"/>
    </row>
    <row r="115" spans="2:4">
      <c r="B115" s="3"/>
      <c r="D115" s="1"/>
    </row>
    <row r="117" spans="2:4">
      <c r="D117" s="1"/>
    </row>
    <row r="118" spans="2:4">
      <c r="B118" s="3"/>
    </row>
    <row r="120" spans="2:4">
      <c r="D120" s="1"/>
    </row>
    <row r="121" spans="2:4">
      <c r="D121" s="1"/>
    </row>
    <row r="122" spans="2:4">
      <c r="D122" s="1"/>
    </row>
    <row r="123" spans="2:4">
      <c r="D123" s="1"/>
    </row>
    <row r="127" spans="2:4">
      <c r="D127" s="1"/>
    </row>
    <row r="128" spans="2:4">
      <c r="D128" s="1"/>
    </row>
    <row r="129" spans="4:4">
      <c r="D129" s="1"/>
    </row>
    <row r="130" spans="4:4">
      <c r="D130" s="1"/>
    </row>
    <row r="131" spans="4:4">
      <c r="D131" s="1"/>
    </row>
    <row r="132" spans="4:4">
      <c r="D132" s="1"/>
    </row>
    <row r="134" spans="4:4">
      <c r="D134" s="1"/>
    </row>
    <row r="136" spans="4:4">
      <c r="D136" s="1"/>
    </row>
    <row r="138" spans="4:4">
      <c r="D138" s="1"/>
    </row>
    <row r="140" spans="4:4">
      <c r="D140" s="1"/>
    </row>
    <row r="141" spans="4:4">
      <c r="D141" s="1"/>
    </row>
    <row r="142" spans="4:4">
      <c r="D142" s="1"/>
    </row>
    <row r="143" spans="4:4">
      <c r="D143" s="1"/>
    </row>
    <row r="145" spans="4:4">
      <c r="D145" s="1"/>
    </row>
    <row r="146" spans="4:4">
      <c r="D146" s="1"/>
    </row>
    <row r="148" spans="4:4">
      <c r="D148" s="1"/>
    </row>
    <row r="149" spans="4:4">
      <c r="D149" s="1"/>
    </row>
    <row r="150" spans="4:4">
      <c r="D150" s="1"/>
    </row>
    <row r="154" spans="4:4">
      <c r="D154" s="1"/>
    </row>
    <row r="155" spans="4:4">
      <c r="D155" s="1"/>
    </row>
    <row r="156" spans="4:4">
      <c r="D156" s="1"/>
    </row>
    <row r="158" spans="4:4">
      <c r="D158" s="1"/>
    </row>
    <row r="162" spans="4:4">
      <c r="D162" s="1"/>
    </row>
    <row r="164" spans="4:4">
      <c r="D164" s="1"/>
    </row>
    <row r="165" spans="4:4">
      <c r="D165" s="1"/>
    </row>
    <row r="166" spans="4:4">
      <c r="D166" s="1"/>
    </row>
    <row r="167" spans="4:4">
      <c r="D167" s="1"/>
    </row>
    <row r="168" spans="4:4">
      <c r="D168" s="1"/>
    </row>
    <row r="169" spans="4:4">
      <c r="D169" s="1"/>
    </row>
    <row r="170" spans="4:4">
      <c r="D170" s="1"/>
    </row>
    <row r="171" spans="4:4">
      <c r="D171" s="1"/>
    </row>
    <row r="172" spans="4:4">
      <c r="D172" s="1"/>
    </row>
    <row r="173" spans="4:4">
      <c r="D173" s="1"/>
    </row>
    <row r="175" spans="4:4">
      <c r="D175" s="1"/>
    </row>
  </sheetData>
  <mergeCells count="6">
    <mergeCell ref="A1:A2"/>
    <mergeCell ref="B1:B2"/>
    <mergeCell ref="C1:C2"/>
    <mergeCell ref="D1:D2"/>
    <mergeCell ref="F1:M1"/>
    <mergeCell ref="E1:E2"/>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SubtitleContentTmpl-72724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susan zhou</cp:lastModifiedBy>
  <dcterms:created xsi:type="dcterms:W3CDTF">2026-03-17T09:34:58Z</dcterms:created>
  <dcterms:modified xsi:type="dcterms:W3CDTF">2026-05-09T13:24:25Z</dcterms:modified>
</cp:coreProperties>
</file>