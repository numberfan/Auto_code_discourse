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Users/turtle/课内相关/京师人/学业/各种项目/2026上半年陶瓷/ChenGaowei/3.23编码/"/>
    </mc:Choice>
  </mc:AlternateContent>
  <xr:revisionPtr revIDLastSave="0" documentId="13_ncr:1_{6318A6DC-12C5-2D41-9D7D-360ACAD963E1}" xr6:coauthVersionLast="47" xr6:coauthVersionMax="47" xr10:uidLastSave="{00000000-0000-0000-0000-000000000000}"/>
  <bookViews>
    <workbookView xWindow="-50320" yWindow="-1960" windowWidth="26620" windowHeight="28300" xr2:uid="{00000000-000D-0000-FFFF-FFFF00000000}"/>
  </bookViews>
  <sheets>
    <sheet name="SubtitleContentTmpl-727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5" i="1" l="1"/>
  <c r="G65" i="1"/>
  <c r="H65" i="1"/>
  <c r="I65" i="1"/>
  <c r="J65" i="1"/>
  <c r="K65" i="1"/>
  <c r="L65" i="1"/>
  <c r="M65" i="1"/>
  <c r="E70" i="1"/>
  <c r="E69"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3" i="1"/>
  <c r="E66" i="1" l="1"/>
  <c r="E65" i="1"/>
  <c r="E67" i="1" l="1"/>
</calcChain>
</file>

<file path=xl/sharedStrings.xml><?xml version="1.0" encoding="utf-8"?>
<sst xmlns="http://schemas.openxmlformats.org/spreadsheetml/2006/main" count="264" uniqueCount="218">
  <si>
    <t>Number</t>
  </si>
  <si>
    <t>Timestamp</t>
  </si>
  <si>
    <t>Speaker</t>
  </si>
  <si>
    <t>Utterance</t>
  </si>
  <si>
    <t>1</t>
  </si>
  <si>
    <t>teacher</t>
  </si>
  <si>
    <t>2</t>
  </si>
  <si>
    <t>3</t>
  </si>
  <si>
    <t>4</t>
  </si>
  <si>
    <t>00:23-01:22</t>
  </si>
  <si>
    <t>5</t>
  </si>
  <si>
    <t>6</t>
  </si>
  <si>
    <t>7</t>
  </si>
  <si>
    <t>8</t>
  </si>
  <si>
    <t>9</t>
  </si>
  <si>
    <t>10</t>
  </si>
  <si>
    <t>11</t>
  </si>
  <si>
    <t>12</t>
  </si>
  <si>
    <t>13</t>
  </si>
  <si>
    <t>Yeah</t>
  </si>
  <si>
    <t>14</t>
  </si>
  <si>
    <t>15</t>
  </si>
  <si>
    <t>16</t>
  </si>
  <si>
    <t>17</t>
  </si>
  <si>
    <t>18</t>
  </si>
  <si>
    <t>19</t>
  </si>
  <si>
    <t>20</t>
  </si>
  <si>
    <t>21</t>
  </si>
  <si>
    <t>22</t>
  </si>
  <si>
    <t>23</t>
  </si>
  <si>
    <t>24</t>
  </si>
  <si>
    <t>25</t>
  </si>
  <si>
    <t>26</t>
  </si>
  <si>
    <t>27</t>
  </si>
  <si>
    <t>Inaudible voice</t>
  </si>
  <si>
    <t xml:space="preserve"> Everyone, so good morning. So for the second lesson we have to continue our teaching about Social Issue. So everyone have a look on the screen. Okay, so who can tell me what is happening right there? </t>
  </si>
  <si>
    <t>Student 1</t>
  </si>
  <si>
    <t>SS</t>
  </si>
  <si>
    <t>00:00-00:24</t>
  </si>
  <si>
    <t>00:24-00:24</t>
  </si>
  <si>
    <t>Video player</t>
  </si>
  <si>
    <t>火燭啊, 哇,燒到噉, 癡線</t>
  </si>
  <si>
    <t>00:21-01:29</t>
  </si>
  <si>
    <t>Student 2</t>
  </si>
  <si>
    <t>Flat. </t>
  </si>
  <si>
    <t xml:space="preserve">Flat, very good. Flat, alright? So it costs, or maybe it costs some flats.  So who are they? Families, alright? Families, okay? And also some residents right there. Residents, humans. People, yeah, humans. People lives right there. So what is the outcome?  Okay, fire in the flats and then causing, making them? </t>
  </si>
  <si>
    <t>(inaudible)</t>
  </si>
  <si>
    <t>Student 3</t>
  </si>
  <si>
    <t>Yes?</t>
  </si>
  <si>
    <t xml:space="preserve">Yea some of them </t>
  </si>
  <si>
    <t xml:space="preserve">pass away </t>
  </si>
  <si>
    <t>03:00:-05:18</t>
  </si>
  <si>
    <t>05:18-05:18</t>
  </si>
  <si>
    <t>05:18-05:59</t>
  </si>
  <si>
    <t>06:00-06:00</t>
  </si>
  <si>
    <t>05:59-06:00</t>
  </si>
  <si>
    <t>06:04-06:05</t>
  </si>
  <si>
    <t>06:01-06:03</t>
  </si>
  <si>
    <t>06:03-06:04</t>
  </si>
  <si>
    <t>06:05-08:36</t>
  </si>
  <si>
    <t>Student 4</t>
  </si>
  <si>
    <t>08:36-08:36</t>
  </si>
  <si>
    <t>08:36-14:14</t>
  </si>
  <si>
    <t>Student 5</t>
  </si>
  <si>
    <t>14:14-14:14</t>
  </si>
  <si>
    <t>Student 6</t>
  </si>
  <si>
    <t>14:15-15:04</t>
  </si>
  <si>
    <t>Understand</t>
  </si>
  <si>
    <t>15:04-15:05</t>
  </si>
  <si>
    <t>15:06-15:25</t>
  </si>
  <si>
    <t>We are reaching out the for our tai po fire give charity financial and i propose 19</t>
  </si>
  <si>
    <t>Okay, yeah, circle 19 of December. Yeah, alright, so the date. Ok so</t>
  </si>
  <si>
    <t>15:26-16:38</t>
  </si>
  <si>
    <t>16:38-16:38</t>
  </si>
  <si>
    <t>Student 7</t>
  </si>
  <si>
    <t>22000 families</t>
  </si>
  <si>
    <t>Christina</t>
  </si>
  <si>
    <t>25:24-25:26</t>
  </si>
  <si>
    <t xml:space="preserve">this one, so that means you have 20 thousand. Okay, next one, gross growth for nation, so it’s new organization for social right, after finding explains, we want some basic … necessities, so that means we want to … 50 thousand dollars, easy, easy. Because I want to make sure that you can fill in the blanks. Okay, let me see. Okay, meeting minutes. So, you … so it’s talking about how to raise money. How to raise money. How to raise money. … Sp let me see according to … First one second test… and also …  okay, so let’s see … more than 5 hundred, So there are some details…  okay pricing…  How about 10 fish? How many? about 300 plus, how about … people get to … yes right … So …And that means we can raise the money by … tend to do the blog … have to do the double … okay, so next one … okay, so we have to find how much is our planning … You just want to raise $20, just $20? After doing so many of things, you want to get the $20 back? No, of course not. So $20 is called tickets fee. And right here, 10 to 50. Alright, So how about all? How about all? Give me the number. yea, yea, yea, total, how much? Okay… How can you know all the answers? That’s great, that’s great, I am trying to get you some hints… what are they, we can say a … daily necessities.. okay next one, Okay.  So then you have to put down the real ones. Because after their meeting, they finalize the final date. Okay? And also we understand that some information is coming from there. Okay, so almost finished, right? Almost finished. So I want you to somehow put down the information. Or maybe you just read out from your group.  Okay, group one. Group one. Group one. Hi, group one, yeah, Christina. So you are responsible for reading a newspaper. So everyone, listen. eyes on me. eyes on you. All right, yeah, okay. First one. How many of the families? </t>
  </si>
  <si>
    <t>Student 8</t>
  </si>
  <si>
    <t>19:30-19:31</t>
  </si>
  <si>
    <t>19:31-25:24</t>
  </si>
  <si>
    <t>16:38-19:30</t>
  </si>
  <si>
    <t>25:26-25:48</t>
  </si>
  <si>
    <t>… Hong Kong</t>
  </si>
  <si>
    <t>25:48-25:51</t>
  </si>
  <si>
    <t>25:51-27:00</t>
  </si>
  <si>
    <t>Student 9</t>
  </si>
  <si>
    <t>so the answer is over there, over …</t>
  </si>
  <si>
    <t>27:00-27:04</t>
  </si>
  <si>
    <t>27:04-27:47</t>
  </si>
  <si>
    <t>Student 10</t>
  </si>
  <si>
    <t>10 am …</t>
  </si>
  <si>
    <t>27:47-27:51</t>
  </si>
  <si>
    <t>28:08-28:09</t>
  </si>
  <si>
    <t xml:space="preserve">At the school garden. </t>
  </si>
  <si>
    <t xml:space="preserve">Alright, the time is different from mine suggestion. 10 a.m. to four p.m. Thank you so much.  So venue. Yeah, where we would take place. </t>
  </si>
  <si>
    <t>27:51-28:08</t>
  </si>
  <si>
    <t>School garden, really?</t>
  </si>
  <si>
    <t>28:09-28:11</t>
  </si>
  <si>
    <t>Pasta, pasta</t>
  </si>
  <si>
    <t>28:11-28:13</t>
  </si>
  <si>
    <t>29:00-29:01</t>
  </si>
  <si>
    <t>Second handbook</t>
  </si>
  <si>
    <t xml:space="preserve">School pasta. Pizza. Pizza. Oh, yeah, thank you. All right, so that means, really sorry for the title. So that means school hall, okay?  Okay, and also tell me there are two events. First one. Tell me the events. Yeah, of course we have to change. The first one. What are the two events?  </t>
  </si>
  <si>
    <t>28:13-29:00</t>
  </si>
  <si>
    <t>29:01-29:17</t>
  </si>
  <si>
    <t>tony</t>
  </si>
  <si>
    <t>The talent show</t>
  </si>
  <si>
    <t>29:17-29:19</t>
  </si>
  <si>
    <t>29:19-29:44</t>
  </si>
  <si>
    <t>sesponson</t>
  </si>
  <si>
    <t>Ten to?</t>
  </si>
  <si>
    <t>29:44-29:45</t>
  </si>
  <si>
    <t>Hayden</t>
  </si>
  <si>
    <t>Answer, answer</t>
  </si>
  <si>
    <t>29:45-30:34</t>
  </si>
  <si>
    <t>30:34-30:35</t>
  </si>
  <si>
    <t>how many?</t>
  </si>
  <si>
    <t>30:35-30:38</t>
  </si>
  <si>
    <t>30:38-30:43</t>
  </si>
  <si>
    <t>15 thousand</t>
  </si>
  <si>
    <t>30:43-31:18</t>
  </si>
  <si>
    <t>31:18-31:22</t>
  </si>
  <si>
    <t xml:space="preserve">Okay, thank you so much. And then? </t>
  </si>
  <si>
    <t>31:22-31:24</t>
  </si>
  <si>
    <t xml:space="preserve">And then Crossroads Foundation, $15,000. </t>
  </si>
  <si>
    <t xml:space="preserve">…haking charge for humanity, $20,000. </t>
  </si>
  <si>
    <t xml:space="preserve">Free day Hong Kong, 10,000. </t>
  </si>
  <si>
    <t xml:space="preserve">Okay, thank you.  </t>
  </si>
  <si>
    <t>31:24-31:26</t>
  </si>
  <si>
    <t>31:26-31:30</t>
  </si>
  <si>
    <t>31:30-31:33</t>
  </si>
  <si>
    <t>31:33-31:34</t>
  </si>
  <si>
    <t>Okay, yes?</t>
  </si>
  <si>
    <t xml:space="preserve">And SPCA, 5,000. </t>
  </si>
  <si>
    <t>31:34-31:37</t>
  </si>
  <si>
    <t>31:37-32:39</t>
  </si>
  <si>
    <t>32:39-32:41</t>
  </si>
  <si>
    <t>Michael</t>
  </si>
  <si>
    <t xml:space="preserve">First one, invite teachers to join </t>
  </si>
  <si>
    <t>32:41-33:04</t>
  </si>
  <si>
    <t>33:04-33:07</t>
  </si>
  <si>
    <t xml:space="preserve"> Share event photos on the school website. </t>
  </si>
  <si>
    <t>33:15-33:15</t>
  </si>
  <si>
    <t>Share event photos</t>
  </si>
  <si>
    <t>33:07-33:15</t>
  </si>
  <si>
    <t xml:space="preserve">Okay, so that means if my students share, share something, share... </t>
  </si>
  <si>
    <t>Teacher</t>
  </si>
  <si>
    <t>33:15-42:22</t>
  </si>
  <si>
    <t>42:22-42:27</t>
  </si>
  <si>
    <t>All students</t>
  </si>
  <si>
    <t>Goodbye and thank you miss …</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</si>
  <si>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</si>
  <si>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</si>
  <si>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</si>
  <si>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</si>
  <si>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</si>
  <si>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</si>
  <si>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</si>
  <si>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</si>
  <si>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</si>
  <si>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</si>
  <si>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</si>
  <si>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</si>
  <si>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</si>
  <si>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</si>
  <si>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</si>
  <si>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</si>
  <si>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</si>
  <si>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</si>
  <si>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</si>
  <si>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</si>
  <si>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</si>
  <si>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</si>
  <si>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</si>
  <si>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</si>
  <si>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</si>
  <si>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</si>
  <si>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</si>
  <si>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</si>
  <si>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</si>
  <si>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</si>
  <si>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</si>
  <si>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</si>
  <si>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</si>
  <si>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</si>
  <si>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APT moves(T0)</t>
  </si>
  <si>
    <t>Say more(T3)</t>
  </si>
  <si>
    <t>Revoice(T1)</t>
  </si>
  <si>
    <t>Press for reasoning(T2)</t>
  </si>
  <si>
    <t>Challenge(T4)</t>
  </si>
  <si>
    <t>Restate(1678976054)</t>
  </si>
  <si>
    <t>Agree/Disagree(1678976089)</t>
  </si>
  <si>
    <t>Add on(1678976097)</t>
  </si>
  <si>
    <t>Explain others(T5)</t>
  </si>
  <si>
    <t>word</t>
    <phoneticPr fontId="2" type="noConversion"/>
  </si>
  <si>
    <t>sum</t>
  </si>
  <si>
    <t>Teachers' total words</t>
  </si>
  <si>
    <t>Students' total words</t>
  </si>
  <si>
    <t>Total turns</t>
  </si>
  <si>
    <t>No. of teachers' turn</t>
  </si>
  <si>
    <t>No. of students' turn</t>
  </si>
  <si>
    <t xml:space="preserve">So just two weeks ago in Tai Po there was a fire, tragedy happen right there, okay?  So obviously it is a case that we have to know more about. And by the end of this lesson, I want you to know more about some vocabulary related to social issues. Through our case study related to Tai Po fire tragedy. And as well as we have to learn the format of writing a letter of proposal. What can we do?  Okay. So this is the breaking news and everyone should know this one, okay? Anyone who doesn't know it? Alright, maybe we can have a little video about the timeline, okay. So just two minutes,okay, have a look on this timeline.  </t>
    <phoneticPr fontId="2" type="noConversion"/>
  </si>
  <si>
    <t>Yea pass away ,die. All right pass away die So that means they lost their lives and also how about for the flats? How about for the flats, Damaged, exactly. All right, so I want you to know about these words, damage. so the result causing that the result is you have learned this word, you have learned this word before, related to social issue what is it? homeless, okay, that’s one, very good, homeless, okay, so let me say more about the social issue, which is called homelessness, so we have to know more about a this case, and the specific situation so all of you Chris Wong right now. You are the chairperson okay everyone of you are the chairperson of the charity crop at CYTSS so you have to know more about this case and also we have to do something to help them. Okay? the victims are currently struggling with homelessness, that means they are having nowhere to live anymore. So the mission is that you have to write a letter of proposal to our principal Mr. Lee. Okay, say that we want to organize an upcoming charity event. So this is the job that we have to do alright within this lesson and also this writing is something that you have to write in right language, understand? Alright, so we have to use this real case to write in class writing. So every one of you should have your class writing guideline. There are two different levels, okay? One with the challenging one, another one will be the easier one. So this is similar to your last writing part A and also the exam. Cross student analysis, please fill in Your work, your role. Who are you? Who are you? </t>
    <phoneticPr fontId="2" type="noConversion"/>
  </si>
  <si>
    <t>Yeah? So there is a student in our class also called the same name. Chris Wong, please come up. Yeah, all right, you have a good name, Chris Wong. Please put down, question number one.  That's great your name, Alright, it's so funny this uses his phone to write down his name, All right, so very good very good, let me give you a stamp, All right, so besides putting down your name you can also put down your identity. Okay, everyone, so please put down question number one, Chris Wong, Remember to use the capital letter. next one so you can also put down oui, Your identity in CYTSS, the charity club chairperson. Right? Both answers are correct. All right, question number two. What is done right here? Unlike the answers in thing one, students, teachers, there are, there is only one target.  Ruby, yes, please come out and put down, okay? So there is only one target of our class writing. Who will read your class writing? Principal, yes. And also put down his surname. Surname, principal. L-E-E, L-E-E, another one.  Wow, which is a big one. All right. Thank you so much. Yes exactly, so the only one audience is to persuade our principally. Okay, let you all nice this charity, oh, principal lee, So that means you have to write in a polite tone, a polite tone. Okay last one very easy. Everyone of you should notice, question number 3, Please put down a letter of proposal. Make sure you put down “of proposal”, a letter, no? Incorrect, a letter of proposal, okay? A letter of proposal, okay, remember, remember put down of proposal. By the end of this lesson, I want you to have a brief idea of the format of the letter of proposal. No worries. And tomorrow we have another reading graphic organizer to remember the format. And also we have the class writing on Thursday. Okay, finished? Okay, finished. Alright, so what we are going to do next step. So I want you to form into groups of three and four.  Just next to your classmates, So we have to ensure every one of you has done something to our letter of proposal. So each group will be given different information, okay? A piece of data file. No worries. You can read out something from the data file, alright? So each group is going to read different information. So, Group 1? Group 1 is a long one. Group 1, you are going to read a piece of newspaper about Tai Po tragedy. And you need to fill in some information on the table, understand? Group 2, that means Rhett and also Monson, Nicky. So you have a charity club meeting minutes, okay? So you have to understand what we have already discussed, okay. Group 3? Okay, only 3 people over there. Easy one easy one. You are going to read a website of a donation where should our donation go to.Okay Group 4 easiest, so I am going to send you email, alright, so everyone of you are chris wong, so I will send you the email , so there are some reminders in my email, understand? email, ok? and then whatsapp group whatsapp group, alright? and last one, ok? because there are some absentees so after writing the letter proposal we have already done the charity event so you have already mentioned some experience after the upcoming charity, ok? so, group  Okay, please turn to your classmates. Okay, group two. Okay. Okay, group three. So are you used as mathematics? Mathematics. </t>
    <phoneticPr fontId="2" type="noConversion"/>
  </si>
  <si>
    <t>Yeah, that's great. A lot of numbers. Okay, group four, easy. Short one. Okay, so group five, also easy. Whatsapp group, So, everyone of you should contribute something. Review the data carefully. So, ouim five minutes. Try to extract relevant information from the data file. And fill in some of the blanks only, okay? Some, only some, okay? Once you have found out some information, please come up and write down the information on the screen, understand?</t>
    <phoneticPr fontId="2" type="noConversion"/>
  </si>
  <si>
    <t xml:space="preserve">See? See? See? See? See? All right. So that means, okay, there are two sets of four sheets, okay? So you just need to put a tick. Which one do we need? Okay, for both of you, you are so smart that  you have to put down some things right here. We need some support from the school. So that means principally I want to borrow some tables and chairs. Okay, try to mention the numbers. How many? And also, hey, can I have a sharing in the morning assembly? Can we make an announcement because we want to attract more students to participate in this workshop right and also it can we invite teachers to come okay support so support so you have to mention total, so you have the easiest part, okay, that means, you need to write down how to raise money and How much you should raise. How many? How many? How much? Oh! Alright, yes. Okay, so please put it down. How much is planned to be raised? Okay, finished. Alright, okay. Alright, so there are several tragedies in hong kong. So we have to help you raise. How to? No, How much? Alright, so you need to break into different characters. Alright, so, from the information, we split it into different parts, because we want to have largely correct, okay so first one, Haking for humanities, for new housing, i think the major problem, 20 for young? twenty thousand dollars for, </t>
    <phoneticPr fontId="2" type="noConversion"/>
  </si>
  <si>
    <t xml:space="preserve">Yeah. Yeah, thank you so much. Everyone, so please put down nearly  22,000 families are affected. Okay, And also the damage it has caused, there are so many damage. So please give me one to two examples. </t>
    <phoneticPr fontId="2" type="noConversion"/>
  </si>
  <si>
    <t xml:space="preserve">Yes, and also, yeah thank you so much. Hey everyone, please put down these two: Personal belongings, okay, and also daily necessities. So of course from news, we knew that there are 160 lives has been lost, alright, So also please put down 160 lives.  And also, a lot of flats, apartments have been destroyed. Okay, and also group two, I need to know when we have the charity event, the final decision. Yeah, final decision, because they have the meeting and have the final decision. </t>
    <phoneticPr fontId="2" type="noConversion"/>
  </si>
  <si>
    <t xml:space="preserve">Yeah, because I'm sending you the email I'm just suggesting you however after the discussion with the new charity club they have a final decision. Tell me the date. Yea? 22, really sorry because i just suggest, the final decision is within the … 22 of december Okay, because I sent you the email, I'm just suggesting here, right? The decision-making is over there. So what time? </t>
    <phoneticPr fontId="2" type="noConversion"/>
  </si>
  <si>
    <t xml:space="preserve">Ten to? exactly, we can sell them at around ten to fifteen dollars, alright? And also rex, how about for the ticket speed? Can I show each ticket?  cost about for the talent show how much is the ticket fee? yeah you have to donate at least, at least $20 in order to participate in the talent show, yes, yeah sure okay over there we have three, we have three, how much is funds to be raised? That means hayden you have to answer my question. </t>
    <phoneticPr fontId="2" type="noConversion"/>
  </si>
  <si>
    <t xml:space="preserve">Yeah, thank you so much, 15,000, ok, everyone should put down the answers, okay and also i need another one to tell me where the donation will go, and there are several charities in Hong Kong. There are over three, no, four charities, around four charities in Hong Kong. And Hayden, you have to tell us how much for each charity and also what we are going to do for this part. </t>
    <phoneticPr fontId="2" type="noConversion"/>
  </si>
  <si>
    <t xml:space="preserve">Okay, thank you so much, add up together, 15 thousand dollars, we spilt it into four different parts, so that means we want to have different affected areas, The first one , haking for humanity, for the building, the housing, okay, and also Next one of course foundation, we want to find some essential items for them, for their daily necessity Okay, another feeding Hong Kong for food support. Maybe they feel hungry alright, about that one and of course SPCA there are also some pets which is also affected. Okay last row so that means we see the letter I want to ask our principal to get some support. So Michael, would you please tell us what support do we need? </t>
    <phoneticPr fontId="2" type="noConversion"/>
  </si>
  <si>
    <t>First one, invite teachers to join, because teachers are richer than students, right? So please, without. So we want our principal to invite teachers to join this charity. Okay? Any more? Canyon?  How about having some promotions?</t>
    <phoneticPr fontId="2" type="noConversion"/>
  </si>
  <si>
    <t xml:space="preserve">Yeah, thank you so much, Second handbook, second handbook at sale. And also, and the second one, Tony. The talent show. Yeah, talent show. Thank you so much. Okay, so I need someone over there. So, let me see, sesponson, Can you tell me some details how to raise the money? Okay, how to raise the money? So for example, how much for the books and toys? </t>
    <phoneticPr fontId="2" type="noConversion"/>
  </si>
  <si>
    <r>
      <t xml:space="preserve">Oh, thank you. Share event photos, maybe on IG, okay? Photos on IG. How about before the event, before the event visits?  How can we attract students to join? How about just like this period in the morning assembly, we are having a promotion during the morning. So this morning we have our English morning assembly, okay? So promote.  promotions during morning assembly and also ringo, how about borrowing some equipment we want to borrow some chairs, tables how many? try to tell me the number no, just discuss right now okay, give me the number, that's it  Oh, he didn't mention about that one, right? Okay, so maybe we can mention it later, okay? That means we have to borrow some things from the school. So this is a draft of writing the letter proposal. You have mentioned so many things in your letter, okay? So no worries.  Okay, No worries, I will send you the answers. Okay. This is only the brief idea. So you have to tell us the background and also how we plan this one Okay, no worries. I will tell you the answer and also you need to write down some details and next one for the final few minutes I want you to draft. Draft your letter proposal. So this is the basic idea  So first one, please put a tick. It is a formal letter. So first one, formal opening,. Hi, principal lee , or dear principal lee. Dear, dear. Of course, okay. So please put it down. Dear is a formal tone. Please circle, formal. And also, la.  This is a letter, so we have to mention about the closing. The format of letter, formal opening and also formal closing. So everyone, okay, so maybe you can change your seat, okay, Christine, because you have some difficulty to read the screen, okay? Use faithfully or sincerely. You know the name of the recipient. Where you know the name of the recipient. So what? Yeah, thank you so much. Please put it right here. When you are writing to someone you know, okay, you have to write sincerely. You do not know his or her name. You put down yours faithfully, okay? So put down Chris Wong and then your position, your role, your chairperson of.  Yes, what's that charity club? So this is the basic idea of writing a letter, okay? Please highlight or try to put down a format of writing a letter. Okay, you have to write down some keywords letter, gimi, gimi, do you understand? We have to learn how to write a proposal, two different concepts, okay, so we've seen the letter you are trying to propose some events to our principle. So you have to mix two test items into one letter and also proposal. So this is the concept of writing a proposal. That means you are giving us suggestions, okay proposal for our, okay, it's your turn right now. So this is  You have to name. You have to name. This is the name. What is the name? You can name it. Okay, can I have the name? This is Tai-Ho Fire Relief Charity. Okay, so please put down. Tai-Ho Fire Relief Charity.  Charity Ayam, it's a long one. The events. Okay, please put down. So this is a proposal for a tai po fire relief charity event. Okay? Alright, so you just need to fill in the information from Papi, okay? Or from Papi.  Okay, first one you have to tell us the background. Background. Okay, so you just need to tell us the number. How many? How many? Thousands. Okay, how many? How many of these families are affected? Two, alright, just put down two. Losing their, okay, put down some words. Don't mention about losing their things or  So there are things that are damaged when you want to accept wordings. So for the final fill business, you have to fill in the brands from table 2, table B. So this is the draft of your letter proposal. So your class writing, I'm sure that if you follow my structure, you can get basic passing marks. Remember  Dear principal Lee proposal for a doodh. So as the chairperson of our school's charity club I'm writing to express our concern over something. We want to propose a charity event. And also there is a request. We want something from you, Mr. Lee. Please help us. And also, finally, mention about some benefits. Okay, we are going to talk about this one tomorrow. Remember the last one. We sincerely hope that you will approve this proposal. Okay, everyone, read aloud. Three, two, one. We, we sincerely </t>
    </r>
    <r>
      <rPr>
        <sz val="11"/>
        <color rgb="FF000000"/>
        <rFont val="Microsoft YaHei"/>
        <family val="2"/>
        <charset val="134"/>
      </rPr>
      <t>咦</t>
    </r>
    <r>
      <rPr>
        <sz val="11"/>
        <color rgb="FF000000"/>
        <rFont val="Arial"/>
        <family val="2"/>
      </rPr>
      <t>,</t>
    </r>
    <r>
      <rPr>
        <sz val="11"/>
        <color rgb="FF000000"/>
        <rFont val="Microsoft YaHei"/>
        <family val="2"/>
        <charset val="134"/>
      </rPr>
      <t>再嚟多次</t>
    </r>
    <r>
      <rPr>
        <sz val="11"/>
        <color rgb="FF000000"/>
        <rFont val="Arial"/>
        <family val="2"/>
      </rPr>
      <t xml:space="preserve"> hope that you will approve this proposal. Okay, so that means propose, all right? I just suggested something however, Mr. Lee, I want you to accept our proposal. Understand? You must, you must include this line in your class writing and also in your exam. Understand? You must, all right? Put a star right here, star, star, star. After writing so many things, you have to include this one in your final paragraphs, last sentence, because  We are just making a suggestion. Mr. Lee, please accept them. Okay? Let's talk about it also. And then remember to have a formal closing. Alright, so please take this one onto your G-E No. 4. G-E No. 4. Hit it. G-E No. 4. Understand? Alright, so understand tomorrow we need to continue finishing this one. Please finish this page. Okay?  Wow, thank you so much to have background music. Okay? Bring your reading graphic organizer because we are continuing to reach another letter proposal on your textbook. Understand? Alright? So everyone, please stand up. Okay, goodbye class.</t>
    </r>
    <phoneticPr fontId="2" type="noConversion"/>
  </si>
  <si>
    <t>Alright, so now la just two minutes, So I want you to put down as many words as you can think of after reading, looking at the news. Any words, alright? So any words that pops up in your mind, alright? Tai  PO fire, tragedy. Any words? Okay, come out, please come out. And get some stamps. Any words?  Yes, please put down. Any words after looking at the working news, doesn’t matter. Before we learn how to write a letter proposal. Yeah, thank you so much. Of course, this is a fire. And also from the video, it mentioned about fire several times, but with different words, okay? Fire, and then? When it begins,  becomes more fierce, it will say another word called blaze and with the effort of our fireman it lowered it down to flames, alright, that's great. So any more words that you can see from the video, from the video or maybe any words that pops up in your mind related to this tragedy.  Come out. Come out. Alright, maybe. Alright, so, okay. So let me help you, alright? So what did the fire cost? What does it happen to?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</si>
</sst>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indexed="8"/>
      <name val="等线"/>
      <family val="2"/>
      <scheme val="minor"/>
    </font>
    <font>
      <sz val="11"/>
      <color rgb="FF000000"/>
      <name val="Arial"/>
      <family val="2"/>
    </font>
    <font>
      <sz val="8"/>
      <name val="等线"/>
      <family val="2"/>
      <scheme val="minor"/>
    </font>
    <font>
      <sz val="12"/>
      <color indexed="8"/>
      <name val="Helvetica"/>
      <family val="2"/>
    </font>
    <font>
      <sz val="11"/>
      <color indexed="8"/>
      <name val="Helvetica"/>
      <family val="2"/>
    </font>
    <font>
      <sz val="11"/>
      <color rgb="FF000000"/>
      <name val="Microsoft YaHei"/>
      <family val="2"/>
      <charset val="134"/>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0" borderId="0" xfId="0" applyFont="1" applyAlignment="1">
      <alignment vertical="center"/>
    </xf>
    <xf numFmtId="20" fontId="0" fillId="0" borderId="0" xfId="0" applyNumberFormat="1"/>
    <xf numFmtId="0" fontId="3" fillId="0" borderId="0" xfId="0" applyFont="1"/>
    <xf numFmtId="0" fontId="4" fillId="0" borderId="0" xfId="0" applyFont="1"/>
    <xf numFmtId="0" fontId="0" fillId="0" borderId="0" xfId="0"/>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0"/>
  <sheetViews>
    <sheetView tabSelected="1" zoomScale="171" zoomScaleNormal="161" workbookViewId="0">
      <pane ySplit="2" topLeftCell="A3" activePane="bottomLeft" state="frozen"/>
      <selection pane="bottomLeft" activeCell="D7" sqref="D7"/>
    </sheetView>
  </sheetViews>
  <sheetFormatPr baseColWidth="10" defaultColWidth="8.83203125" defaultRowHeight="15"/>
  <cols>
    <col min="2" max="2" width="12.1640625" customWidth="1"/>
    <col min="3" max="3" width="14.6640625" customWidth="1"/>
  </cols>
  <sheetData>
    <row r="1" spans="1:13">
      <c r="A1" s="6" t="s">
        <v>0</v>
      </c>
      <c r="B1" s="6" t="s">
        <v>1</v>
      </c>
      <c r="C1" s="6" t="s">
        <v>2</v>
      </c>
      <c r="D1" s="6" t="s">
        <v>3</v>
      </c>
      <c r="F1" s="6" t="s">
        <v>187</v>
      </c>
      <c r="G1" s="6"/>
      <c r="H1" s="6"/>
      <c r="I1" s="6"/>
      <c r="J1" s="6"/>
      <c r="K1" s="6"/>
      <c r="L1" s="6"/>
      <c r="M1" s="6"/>
    </row>
    <row r="2" spans="1:13">
      <c r="A2" s="6"/>
      <c r="B2" s="6"/>
      <c r="C2" s="6"/>
      <c r="D2" s="6"/>
      <c r="E2" t="s">
        <v>196</v>
      </c>
      <c r="F2" t="s">
        <v>188</v>
      </c>
      <c r="G2" t="s">
        <v>189</v>
      </c>
      <c r="H2" t="s">
        <v>190</v>
      </c>
      <c r="I2" t="s">
        <v>191</v>
      </c>
      <c r="J2" t="s">
        <v>192</v>
      </c>
      <c r="K2" t="s">
        <v>193</v>
      </c>
      <c r="L2" t="s">
        <v>194</v>
      </c>
      <c r="M2" t="s">
        <v>195</v>
      </c>
    </row>
    <row r="3" spans="1:13">
      <c r="A3" t="s">
        <v>4</v>
      </c>
      <c r="B3" t="s">
        <v>38</v>
      </c>
      <c r="C3" t="s">
        <v>5</v>
      </c>
      <c r="D3" s="1" t="s">
        <v>35</v>
      </c>
      <c r="E3">
        <f>LEN(D3)-LEN(SUBSTITUTE(D3," ",""))+1</f>
        <v>38</v>
      </c>
    </row>
    <row r="4" spans="1:13">
      <c r="A4" t="s">
        <v>6</v>
      </c>
      <c r="B4" t="s">
        <v>39</v>
      </c>
      <c r="C4" t="s">
        <v>36</v>
      </c>
      <c r="D4" t="s">
        <v>34</v>
      </c>
      <c r="E4">
        <f t="shared" ref="E4:E63" si="0">LEN(D4)-LEN(SUBSTITUTE(D4," ",""))+1</f>
        <v>2</v>
      </c>
    </row>
    <row r="5" spans="1:13">
      <c r="A5" t="s">
        <v>7</v>
      </c>
      <c r="B5" t="s">
        <v>42</v>
      </c>
      <c r="C5" t="s">
        <v>5</v>
      </c>
      <c r="D5" s="1" t="s">
        <v>203</v>
      </c>
      <c r="E5">
        <f t="shared" si="0"/>
        <v>122</v>
      </c>
    </row>
    <row r="6" spans="1:13">
      <c r="A6" t="s">
        <v>8</v>
      </c>
      <c r="B6" t="s">
        <v>9</v>
      </c>
      <c r="C6" t="s">
        <v>40</v>
      </c>
      <c r="D6" t="s">
        <v>41</v>
      </c>
      <c r="E6">
        <f t="shared" si="0"/>
        <v>3</v>
      </c>
    </row>
    <row r="7" spans="1:13">
      <c r="A7" t="s">
        <v>10</v>
      </c>
      <c r="B7" s="3" t="s">
        <v>51</v>
      </c>
      <c r="C7" t="s">
        <v>5</v>
      </c>
      <c r="D7" s="2" t="s">
        <v>217</v>
      </c>
      <c r="E7">
        <f t="shared" si="0"/>
        <v>195</v>
      </c>
    </row>
    <row r="8" spans="1:13">
      <c r="A8" t="s">
        <v>11</v>
      </c>
      <c r="B8" t="s">
        <v>52</v>
      </c>
      <c r="C8" t="s">
        <v>43</v>
      </c>
      <c r="D8" s="2" t="s">
        <v>44</v>
      </c>
      <c r="E8">
        <f t="shared" si="0"/>
        <v>1</v>
      </c>
    </row>
    <row r="9" spans="1:13">
      <c r="A9" t="s">
        <v>12</v>
      </c>
      <c r="B9" t="s">
        <v>53</v>
      </c>
      <c r="C9" t="s">
        <v>5</v>
      </c>
      <c r="D9" s="1" t="s">
        <v>45</v>
      </c>
      <c r="E9">
        <f t="shared" si="0"/>
        <v>53</v>
      </c>
    </row>
    <row r="10" spans="1:13">
      <c r="A10" t="s">
        <v>13</v>
      </c>
      <c r="B10" t="s">
        <v>55</v>
      </c>
      <c r="C10" t="s">
        <v>47</v>
      </c>
      <c r="D10" s="1" t="s">
        <v>46</v>
      </c>
      <c r="E10">
        <f t="shared" si="0"/>
        <v>1</v>
      </c>
    </row>
    <row r="11" spans="1:13">
      <c r="A11" t="s">
        <v>14</v>
      </c>
      <c r="B11" t="s">
        <v>54</v>
      </c>
      <c r="C11" t="s">
        <v>5</v>
      </c>
      <c r="D11" t="s">
        <v>48</v>
      </c>
      <c r="E11">
        <f t="shared" si="0"/>
        <v>1</v>
      </c>
    </row>
    <row r="12" spans="1:13">
      <c r="A12" t="s">
        <v>15</v>
      </c>
      <c r="B12" t="s">
        <v>57</v>
      </c>
      <c r="C12" t="s">
        <v>47</v>
      </c>
      <c r="D12" s="1" t="s">
        <v>46</v>
      </c>
      <c r="E12">
        <f t="shared" si="0"/>
        <v>1</v>
      </c>
    </row>
    <row r="13" spans="1:13">
      <c r="A13" t="s">
        <v>16</v>
      </c>
      <c r="B13" t="s">
        <v>58</v>
      </c>
      <c r="C13" t="s">
        <v>5</v>
      </c>
      <c r="D13" s="1" t="s">
        <v>49</v>
      </c>
      <c r="E13">
        <f t="shared" si="0"/>
        <v>5</v>
      </c>
    </row>
    <row r="14" spans="1:13">
      <c r="A14" t="s">
        <v>17</v>
      </c>
      <c r="B14" t="s">
        <v>56</v>
      </c>
      <c r="C14" t="s">
        <v>47</v>
      </c>
      <c r="D14" s="1" t="s">
        <v>50</v>
      </c>
      <c r="E14">
        <f t="shared" si="0"/>
        <v>3</v>
      </c>
    </row>
    <row r="15" spans="1:13">
      <c r="A15" t="s">
        <v>18</v>
      </c>
      <c r="B15" t="s">
        <v>59</v>
      </c>
      <c r="C15" t="s">
        <v>5</v>
      </c>
      <c r="D15" s="2" t="s">
        <v>204</v>
      </c>
      <c r="E15">
        <f t="shared" si="0"/>
        <v>295</v>
      </c>
    </row>
    <row r="16" spans="1:13">
      <c r="A16" t="s">
        <v>20</v>
      </c>
      <c r="B16" t="s">
        <v>61</v>
      </c>
      <c r="C16" t="s">
        <v>60</v>
      </c>
      <c r="D16" t="s">
        <v>46</v>
      </c>
      <c r="E16">
        <f t="shared" si="0"/>
        <v>1</v>
      </c>
    </row>
    <row r="17" spans="1:6">
      <c r="A17" t="s">
        <v>21</v>
      </c>
      <c r="B17" t="s">
        <v>62</v>
      </c>
      <c r="C17" t="s">
        <v>5</v>
      </c>
      <c r="D17" s="2" t="s">
        <v>205</v>
      </c>
      <c r="E17">
        <f t="shared" si="0"/>
        <v>600</v>
      </c>
    </row>
    <row r="18" spans="1:6">
      <c r="A18" t="s">
        <v>22</v>
      </c>
      <c r="B18" t="s">
        <v>64</v>
      </c>
      <c r="C18" t="s">
        <v>63</v>
      </c>
      <c r="D18" t="s">
        <v>19</v>
      </c>
      <c r="E18">
        <f t="shared" si="0"/>
        <v>1</v>
      </c>
    </row>
    <row r="19" spans="1:6">
      <c r="A19" t="s">
        <v>23</v>
      </c>
      <c r="B19" t="s">
        <v>66</v>
      </c>
      <c r="C19" t="s">
        <v>5</v>
      </c>
      <c r="D19" s="2" t="s">
        <v>206</v>
      </c>
      <c r="E19">
        <f t="shared" si="0"/>
        <v>77</v>
      </c>
    </row>
    <row r="20" spans="1:6">
      <c r="A20" t="s">
        <v>24</v>
      </c>
      <c r="B20" s="3" t="s">
        <v>68</v>
      </c>
      <c r="C20" t="s">
        <v>37</v>
      </c>
      <c r="D20" s="1" t="s">
        <v>67</v>
      </c>
      <c r="E20">
        <f t="shared" si="0"/>
        <v>1</v>
      </c>
    </row>
    <row r="21" spans="1:6">
      <c r="A21" t="s">
        <v>25</v>
      </c>
      <c r="B21" s="3" t="s">
        <v>69</v>
      </c>
      <c r="C21" t="s">
        <v>65</v>
      </c>
      <c r="D21" s="1" t="s">
        <v>70</v>
      </c>
      <c r="E21">
        <f t="shared" si="0"/>
        <v>17</v>
      </c>
    </row>
    <row r="22" spans="1:6">
      <c r="A22" t="s">
        <v>26</v>
      </c>
      <c r="B22" t="s">
        <v>72</v>
      </c>
      <c r="C22" t="s">
        <v>5</v>
      </c>
      <c r="D22" s="1" t="s">
        <v>71</v>
      </c>
      <c r="E22">
        <f t="shared" si="0"/>
        <v>13</v>
      </c>
    </row>
    <row r="23" spans="1:6">
      <c r="A23" t="s">
        <v>27</v>
      </c>
      <c r="B23" t="s">
        <v>73</v>
      </c>
      <c r="C23" t="s">
        <v>74</v>
      </c>
      <c r="D23" s="1" t="s">
        <v>46</v>
      </c>
      <c r="E23">
        <f t="shared" si="0"/>
        <v>1</v>
      </c>
    </row>
    <row r="24" spans="1:6">
      <c r="A24" t="s">
        <v>28</v>
      </c>
      <c r="B24" t="s">
        <v>82</v>
      </c>
      <c r="C24" t="s">
        <v>5</v>
      </c>
      <c r="D24" s="2" t="s">
        <v>207</v>
      </c>
      <c r="E24">
        <f t="shared" si="0"/>
        <v>248</v>
      </c>
    </row>
    <row r="25" spans="1:6">
      <c r="A25" t="s">
        <v>29</v>
      </c>
      <c r="B25" t="s">
        <v>80</v>
      </c>
      <c r="C25" s="1" t="s">
        <v>79</v>
      </c>
      <c r="D25" s="1" t="s">
        <v>46</v>
      </c>
      <c r="E25">
        <f t="shared" si="0"/>
        <v>1</v>
      </c>
    </row>
    <row r="26" spans="1:6">
      <c r="A26" t="s">
        <v>30</v>
      </c>
      <c r="B26" t="s">
        <v>81</v>
      </c>
      <c r="C26" t="s">
        <v>5</v>
      </c>
      <c r="D26" s="2" t="s">
        <v>78</v>
      </c>
      <c r="E26">
        <f t="shared" si="0"/>
        <v>360</v>
      </c>
    </row>
    <row r="27" spans="1:6">
      <c r="A27" t="s">
        <v>31</v>
      </c>
      <c r="B27" t="s">
        <v>77</v>
      </c>
      <c r="C27" s="1" t="s">
        <v>76</v>
      </c>
      <c r="D27" s="1" t="s">
        <v>75</v>
      </c>
      <c r="E27">
        <f t="shared" si="0"/>
        <v>2</v>
      </c>
    </row>
    <row r="28" spans="1:6">
      <c r="A28" t="s">
        <v>32</v>
      </c>
      <c r="B28" t="s">
        <v>83</v>
      </c>
      <c r="C28" t="s">
        <v>5</v>
      </c>
      <c r="D28" s="1" t="s">
        <v>208</v>
      </c>
      <c r="E28">
        <f t="shared" si="0"/>
        <v>38</v>
      </c>
      <c r="F28">
        <v>1</v>
      </c>
    </row>
    <row r="29" spans="1:6">
      <c r="A29" t="s">
        <v>33</v>
      </c>
      <c r="B29" t="s">
        <v>85</v>
      </c>
      <c r="C29" s="1" t="s">
        <v>76</v>
      </c>
      <c r="D29" t="s">
        <v>84</v>
      </c>
      <c r="E29">
        <f t="shared" si="0"/>
        <v>3</v>
      </c>
    </row>
    <row r="30" spans="1:6">
      <c r="A30" t="s">
        <v>153</v>
      </c>
      <c r="B30" t="s">
        <v>86</v>
      </c>
      <c r="C30" t="s">
        <v>5</v>
      </c>
      <c r="D30" s="1" t="s">
        <v>209</v>
      </c>
      <c r="E30">
        <f t="shared" si="0"/>
        <v>87</v>
      </c>
    </row>
    <row r="31" spans="1:6">
      <c r="A31" t="s">
        <v>154</v>
      </c>
      <c r="B31" t="s">
        <v>89</v>
      </c>
      <c r="C31" s="1" t="s">
        <v>87</v>
      </c>
      <c r="D31" s="1" t="s">
        <v>88</v>
      </c>
      <c r="E31">
        <f t="shared" si="0"/>
        <v>8</v>
      </c>
    </row>
    <row r="32" spans="1:6">
      <c r="A32" t="s">
        <v>155</v>
      </c>
      <c r="B32" t="s">
        <v>90</v>
      </c>
      <c r="C32" t="s">
        <v>5</v>
      </c>
      <c r="D32" s="1" t="s">
        <v>210</v>
      </c>
      <c r="E32">
        <f t="shared" si="0"/>
        <v>68</v>
      </c>
    </row>
    <row r="33" spans="1:7">
      <c r="A33" t="s">
        <v>156</v>
      </c>
      <c r="B33" t="s">
        <v>93</v>
      </c>
      <c r="C33" s="1" t="s">
        <v>91</v>
      </c>
      <c r="D33" s="1" t="s">
        <v>92</v>
      </c>
      <c r="E33">
        <f t="shared" si="0"/>
        <v>3</v>
      </c>
    </row>
    <row r="34" spans="1:7">
      <c r="A34" t="s">
        <v>157</v>
      </c>
      <c r="B34" t="s">
        <v>97</v>
      </c>
      <c r="C34" t="s">
        <v>5</v>
      </c>
      <c r="D34" s="1" t="s">
        <v>96</v>
      </c>
      <c r="E34">
        <f t="shared" si="0"/>
        <v>26</v>
      </c>
    </row>
    <row r="35" spans="1:7">
      <c r="A35" t="s">
        <v>158</v>
      </c>
      <c r="B35" t="s">
        <v>94</v>
      </c>
      <c r="C35" s="1" t="s">
        <v>91</v>
      </c>
      <c r="D35" s="1" t="s">
        <v>95</v>
      </c>
      <c r="E35">
        <f t="shared" si="0"/>
        <v>5</v>
      </c>
    </row>
    <row r="36" spans="1:7">
      <c r="A36" t="s">
        <v>159</v>
      </c>
      <c r="B36" t="s">
        <v>99</v>
      </c>
      <c r="C36" t="s">
        <v>5</v>
      </c>
      <c r="D36" s="1" t="s">
        <v>98</v>
      </c>
      <c r="E36">
        <f t="shared" si="0"/>
        <v>3</v>
      </c>
      <c r="G36">
        <v>1</v>
      </c>
    </row>
    <row r="37" spans="1:7">
      <c r="A37" t="s">
        <v>160</v>
      </c>
      <c r="B37" t="s">
        <v>101</v>
      </c>
      <c r="C37" s="1" t="s">
        <v>91</v>
      </c>
      <c r="D37" s="1" t="s">
        <v>100</v>
      </c>
      <c r="E37">
        <f t="shared" si="0"/>
        <v>2</v>
      </c>
    </row>
    <row r="38" spans="1:7">
      <c r="A38" t="s">
        <v>161</v>
      </c>
      <c r="B38" t="s">
        <v>105</v>
      </c>
      <c r="C38" t="s">
        <v>5</v>
      </c>
      <c r="D38" s="1" t="s">
        <v>104</v>
      </c>
      <c r="E38">
        <f t="shared" si="0"/>
        <v>55</v>
      </c>
    </row>
    <row r="39" spans="1:7">
      <c r="A39" t="s">
        <v>162</v>
      </c>
      <c r="B39" t="s">
        <v>102</v>
      </c>
      <c r="C39" s="1" t="s">
        <v>107</v>
      </c>
      <c r="D39" s="1" t="s">
        <v>103</v>
      </c>
      <c r="E39">
        <f t="shared" si="0"/>
        <v>2</v>
      </c>
    </row>
    <row r="40" spans="1:7">
      <c r="A40" t="s">
        <v>163</v>
      </c>
      <c r="B40" t="s">
        <v>106</v>
      </c>
      <c r="C40" t="s">
        <v>5</v>
      </c>
      <c r="D40" s="1" t="s">
        <v>104</v>
      </c>
      <c r="E40">
        <f t="shared" si="0"/>
        <v>55</v>
      </c>
    </row>
    <row r="41" spans="1:7">
      <c r="A41" t="s">
        <v>164</v>
      </c>
      <c r="B41" t="s">
        <v>109</v>
      </c>
      <c r="C41" s="1" t="s">
        <v>107</v>
      </c>
      <c r="D41" s="1" t="s">
        <v>108</v>
      </c>
      <c r="E41">
        <f t="shared" si="0"/>
        <v>3</v>
      </c>
    </row>
    <row r="42" spans="1:7">
      <c r="A42" t="s">
        <v>165</v>
      </c>
      <c r="B42" t="s">
        <v>110</v>
      </c>
      <c r="C42" t="s">
        <v>5</v>
      </c>
      <c r="D42" s="1" t="s">
        <v>215</v>
      </c>
      <c r="E42">
        <f t="shared" si="0"/>
        <v>68</v>
      </c>
    </row>
    <row r="43" spans="1:7">
      <c r="A43" t="s">
        <v>166</v>
      </c>
      <c r="B43" t="s">
        <v>113</v>
      </c>
      <c r="C43" s="1" t="s">
        <v>111</v>
      </c>
      <c r="D43" s="1" t="s">
        <v>112</v>
      </c>
      <c r="E43">
        <f t="shared" si="0"/>
        <v>2</v>
      </c>
    </row>
    <row r="44" spans="1:7">
      <c r="A44" t="s">
        <v>167</v>
      </c>
      <c r="B44" t="s">
        <v>116</v>
      </c>
      <c r="C44" t="s">
        <v>5</v>
      </c>
      <c r="D44" s="1" t="s">
        <v>211</v>
      </c>
      <c r="E44">
        <f t="shared" si="0"/>
        <v>87</v>
      </c>
    </row>
    <row r="45" spans="1:7">
      <c r="A45" t="s">
        <v>168</v>
      </c>
      <c r="B45" t="s">
        <v>117</v>
      </c>
      <c r="C45" s="1" t="s">
        <v>114</v>
      </c>
      <c r="D45" s="1" t="s">
        <v>115</v>
      </c>
      <c r="E45">
        <f t="shared" si="0"/>
        <v>2</v>
      </c>
    </row>
    <row r="46" spans="1:7">
      <c r="A46" t="s">
        <v>169</v>
      </c>
      <c r="B46" t="s">
        <v>119</v>
      </c>
      <c r="C46" t="s">
        <v>5</v>
      </c>
      <c r="D46" s="1" t="s">
        <v>118</v>
      </c>
      <c r="E46">
        <f t="shared" si="0"/>
        <v>2</v>
      </c>
      <c r="F46">
        <v>1</v>
      </c>
    </row>
    <row r="47" spans="1:7">
      <c r="A47" t="s">
        <v>170</v>
      </c>
      <c r="B47" t="s">
        <v>120</v>
      </c>
      <c r="C47" s="1" t="s">
        <v>114</v>
      </c>
      <c r="D47" s="1" t="s">
        <v>121</v>
      </c>
      <c r="E47">
        <f t="shared" si="0"/>
        <v>2</v>
      </c>
    </row>
    <row r="48" spans="1:7">
      <c r="A48" t="s">
        <v>171</v>
      </c>
      <c r="B48" t="s">
        <v>122</v>
      </c>
      <c r="C48" t="s">
        <v>5</v>
      </c>
      <c r="D48" s="1" t="s">
        <v>212</v>
      </c>
      <c r="E48">
        <f t="shared" si="0"/>
        <v>73</v>
      </c>
    </row>
    <row r="49" spans="1:6">
      <c r="A49" t="s">
        <v>172</v>
      </c>
      <c r="B49" t="s">
        <v>123</v>
      </c>
      <c r="C49" s="1" t="s">
        <v>114</v>
      </c>
      <c r="D49" s="1" t="s">
        <v>127</v>
      </c>
      <c r="E49">
        <f t="shared" si="0"/>
        <v>6</v>
      </c>
    </row>
    <row r="50" spans="1:6">
      <c r="A50" t="s">
        <v>173</v>
      </c>
      <c r="B50" t="s">
        <v>125</v>
      </c>
      <c r="C50" t="s">
        <v>5</v>
      </c>
      <c r="D50" s="1" t="s">
        <v>124</v>
      </c>
      <c r="E50">
        <f t="shared" si="0"/>
        <v>8</v>
      </c>
      <c r="F50">
        <v>1</v>
      </c>
    </row>
    <row r="51" spans="1:6">
      <c r="A51" t="s">
        <v>174</v>
      </c>
      <c r="B51" t="s">
        <v>130</v>
      </c>
      <c r="C51" s="1" t="s">
        <v>114</v>
      </c>
      <c r="D51" s="1" t="s">
        <v>126</v>
      </c>
      <c r="E51">
        <f t="shared" si="0"/>
        <v>6</v>
      </c>
    </row>
    <row r="52" spans="1:6">
      <c r="A52" t="s">
        <v>175</v>
      </c>
      <c r="B52" t="s">
        <v>131</v>
      </c>
      <c r="C52" t="s">
        <v>5</v>
      </c>
      <c r="D52" s="1" t="s">
        <v>129</v>
      </c>
      <c r="E52">
        <f t="shared" si="0"/>
        <v>4</v>
      </c>
    </row>
    <row r="53" spans="1:6">
      <c r="A53" t="s">
        <v>176</v>
      </c>
      <c r="B53" t="s">
        <v>132</v>
      </c>
      <c r="C53" s="1" t="s">
        <v>114</v>
      </c>
      <c r="D53" s="1" t="s">
        <v>128</v>
      </c>
      <c r="E53">
        <f t="shared" si="0"/>
        <v>6</v>
      </c>
    </row>
    <row r="54" spans="1:6">
      <c r="A54" t="s">
        <v>177</v>
      </c>
      <c r="B54" t="s">
        <v>133</v>
      </c>
      <c r="C54" t="s">
        <v>5</v>
      </c>
      <c r="D54" s="1" t="s">
        <v>134</v>
      </c>
      <c r="E54">
        <f t="shared" si="0"/>
        <v>2</v>
      </c>
      <c r="F54">
        <v>1</v>
      </c>
    </row>
    <row r="55" spans="1:6">
      <c r="A55" t="s">
        <v>178</v>
      </c>
      <c r="B55" t="s">
        <v>136</v>
      </c>
      <c r="C55" s="1" t="s">
        <v>114</v>
      </c>
      <c r="D55" s="1" t="s">
        <v>135</v>
      </c>
      <c r="E55">
        <f t="shared" si="0"/>
        <v>4</v>
      </c>
    </row>
    <row r="56" spans="1:6">
      <c r="A56" t="s">
        <v>179</v>
      </c>
      <c r="B56" t="s">
        <v>137</v>
      </c>
      <c r="C56" t="s">
        <v>5</v>
      </c>
      <c r="D56" s="1" t="s">
        <v>213</v>
      </c>
      <c r="E56">
        <f t="shared" si="0"/>
        <v>123</v>
      </c>
    </row>
    <row r="57" spans="1:6">
      <c r="A57" t="s">
        <v>180</v>
      </c>
      <c r="B57" t="s">
        <v>138</v>
      </c>
      <c r="C57" s="1" t="s">
        <v>139</v>
      </c>
      <c r="D57" s="1" t="s">
        <v>140</v>
      </c>
      <c r="E57">
        <f t="shared" si="0"/>
        <v>7</v>
      </c>
    </row>
    <row r="58" spans="1:6">
      <c r="A58" t="s">
        <v>181</v>
      </c>
      <c r="B58" t="s">
        <v>141</v>
      </c>
      <c r="C58" t="s">
        <v>5</v>
      </c>
      <c r="D58" s="1" t="s">
        <v>214</v>
      </c>
      <c r="E58">
        <f t="shared" si="0"/>
        <v>37</v>
      </c>
      <c r="F58">
        <v>1</v>
      </c>
    </row>
    <row r="59" spans="1:6">
      <c r="A59" t="s">
        <v>182</v>
      </c>
      <c r="B59" t="s">
        <v>142</v>
      </c>
      <c r="C59" s="1" t="s">
        <v>139</v>
      </c>
      <c r="D59" s="1" t="s">
        <v>143</v>
      </c>
      <c r="E59">
        <f t="shared" si="0"/>
        <v>8</v>
      </c>
    </row>
    <row r="60" spans="1:6">
      <c r="A60" t="s">
        <v>183</v>
      </c>
      <c r="B60" t="s">
        <v>146</v>
      </c>
      <c r="C60" t="s">
        <v>5</v>
      </c>
      <c r="D60" s="1" t="s">
        <v>147</v>
      </c>
      <c r="E60">
        <f t="shared" si="0"/>
        <v>12</v>
      </c>
      <c r="F60">
        <v>1</v>
      </c>
    </row>
    <row r="61" spans="1:6">
      <c r="A61" t="s">
        <v>184</v>
      </c>
      <c r="B61" t="s">
        <v>144</v>
      </c>
      <c r="C61" s="1" t="s">
        <v>139</v>
      </c>
      <c r="D61" s="1" t="s">
        <v>145</v>
      </c>
      <c r="E61">
        <f t="shared" si="0"/>
        <v>3</v>
      </c>
    </row>
    <row r="62" spans="1:6" ht="17">
      <c r="A62" t="s">
        <v>185</v>
      </c>
      <c r="B62" t="s">
        <v>149</v>
      </c>
      <c r="C62" t="s">
        <v>148</v>
      </c>
      <c r="D62" s="1" t="s">
        <v>216</v>
      </c>
      <c r="E62">
        <f t="shared" si="0"/>
        <v>958</v>
      </c>
    </row>
    <row r="63" spans="1:6">
      <c r="A63" t="s">
        <v>186</v>
      </c>
      <c r="B63" t="s">
        <v>150</v>
      </c>
      <c r="C63" s="1" t="s">
        <v>151</v>
      </c>
      <c r="D63" s="1" t="s">
        <v>152</v>
      </c>
      <c r="E63">
        <f t="shared" si="0"/>
        <v>6</v>
      </c>
    </row>
    <row r="65" spans="4:13" ht="16">
      <c r="D65" s="4" t="s">
        <v>197</v>
      </c>
      <c r="E65">
        <f>SUM(E3:E63)</f>
        <v>3826</v>
      </c>
      <c r="F65">
        <f t="shared" ref="F65:M65" si="1">SUM(F3:F63)</f>
        <v>6</v>
      </c>
      <c r="G65">
        <f t="shared" si="1"/>
        <v>1</v>
      </c>
      <c r="H65">
        <f t="shared" si="1"/>
        <v>0</v>
      </c>
      <c r="I65">
        <f t="shared" si="1"/>
        <v>0</v>
      </c>
      <c r="J65">
        <f t="shared" si="1"/>
        <v>0</v>
      </c>
      <c r="K65">
        <f t="shared" si="1"/>
        <v>0</v>
      </c>
      <c r="L65">
        <f t="shared" si="1"/>
        <v>0</v>
      </c>
      <c r="M65">
        <f t="shared" si="1"/>
        <v>0</v>
      </c>
    </row>
    <row r="66" spans="4:13">
      <c r="D66" s="5" t="s">
        <v>198</v>
      </c>
      <c r="E66">
        <f>SUMIF(C3:C63, "Teacher", E3:E63)</f>
        <v>3713</v>
      </c>
    </row>
    <row r="67" spans="4:13">
      <c r="D67" s="5" t="s">
        <v>199</v>
      </c>
      <c r="E67">
        <f>E65-E66</f>
        <v>113</v>
      </c>
    </row>
    <row r="68" spans="4:13">
      <c r="D68" s="5" t="s">
        <v>200</v>
      </c>
      <c r="E68">
        <v>61</v>
      </c>
    </row>
    <row r="69" spans="4:13">
      <c r="D69" s="5" t="s">
        <v>201</v>
      </c>
      <c r="E69">
        <f>COUNTIF(C3:C63, "Teacher")</f>
        <v>30</v>
      </c>
    </row>
    <row r="70" spans="4:13">
      <c r="D70" s="5" t="s">
        <v>202</v>
      </c>
      <c r="E70">
        <f>E68-E69</f>
        <v>31</v>
      </c>
    </row>
  </sheetData>
  <mergeCells count="5">
    <mergeCell ref="A1:A2"/>
    <mergeCell ref="B1:B2"/>
    <mergeCell ref="C1:C2"/>
    <mergeCell ref="D1:D2"/>
    <mergeCell ref="F1:M1"/>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SubtitleContentTmpl-72724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ZHOU, Susan [Ex-Student]</cp:lastModifiedBy>
  <dcterms:created xsi:type="dcterms:W3CDTF">2026-03-17T09:34:58Z</dcterms:created>
  <dcterms:modified xsi:type="dcterms:W3CDTF">2026-04-02T09:22:09Z</dcterms:modified>
</cp:coreProperties>
</file>