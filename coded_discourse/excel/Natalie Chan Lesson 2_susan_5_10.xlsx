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https://d.docs.live.net/529a137f6cc16f6a/课内相关/京师人/学业/各种项目/2026上半年陶瓷/ChenGaowei/5.5编码任务/"/>
    </mc:Choice>
  </mc:AlternateContent>
  <xr:revisionPtr revIDLastSave="2" documentId="8_{6A78AE9C-7CA1-514D-BE3E-4ACB7941925E}" xr6:coauthVersionLast="47" xr6:coauthVersionMax="47" xr10:uidLastSave="{76CC40A6-2D7C-024A-9E83-9E2AACECE752}"/>
  <bookViews>
    <workbookView xWindow="0" yWindow="740" windowWidth="29400" windowHeight="18380" xr2:uid="{00000000-000D-0000-FFFF-FFFF00000000}"/>
  </bookViews>
  <sheets>
    <sheet name="SubtitleContentTmpl-7272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4" i="1" l="1"/>
  <c r="G94" i="1"/>
  <c r="H94" i="1"/>
  <c r="I94" i="1"/>
  <c r="J94" i="1"/>
  <c r="K94" i="1"/>
  <c r="L94" i="1"/>
  <c r="M94" i="1"/>
  <c r="E99" i="1"/>
  <c r="E98"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5" i="1"/>
  <c r="E6" i="1"/>
  <c r="E7" i="1"/>
  <c r="E4" i="1"/>
  <c r="E3" i="1"/>
  <c r="E95" i="1" l="1"/>
  <c r="E94" i="1"/>
  <c r="E96" i="1" l="1"/>
</calcChain>
</file>

<file path=xl/sharedStrings.xml><?xml version="1.0" encoding="utf-8"?>
<sst xmlns="http://schemas.openxmlformats.org/spreadsheetml/2006/main" count="382" uniqueCount="313">
  <si>
    <t>1</t>
  </si>
  <si>
    <t>teacher</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</si>
  <si>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</si>
  <si>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</si>
  <si>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</si>
  <si>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</si>
  <si>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</si>
  <si>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</si>
  <si>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</si>
  <si>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</si>
  <si>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</si>
  <si>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</si>
  <si>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</si>
  <si>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</si>
  <si>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</si>
  <si>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</si>
  <si>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</si>
  <si>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</si>
  <si>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</si>
  <si>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</si>
  <si>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</si>
  <si>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</si>
  <si>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</si>
  <si>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</si>
  <si>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</si>
  <si>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</si>
  <si>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</si>
  <si>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</si>
  <si>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(inaudible)</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</si>
  <si>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</si>
  <si>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</si>
  <si>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</si>
  <si>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</si>
  <si>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</si>
  <si>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</si>
  <si>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</si>
  <si>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</si>
  <si>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</si>
  <si>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</si>
  <si>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</si>
  <si>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</si>
  <si>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</si>
  <si>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</si>
  <si>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</si>
  <si>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</si>
  <si>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</si>
  <si>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</si>
  <si>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</si>
  <si>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</si>
  <si>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</si>
  <si>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</si>
  <si>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</si>
  <si>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</si>
  <si>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</si>
  <si>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</si>
  <si>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</si>
  <si>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</si>
  <si>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</si>
  <si>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</si>
  <si>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</si>
  <si>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</si>
  <si>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</si>
  <si>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</si>
  <si>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Student A</t>
  </si>
  <si>
    <t>Student B</t>
  </si>
  <si>
    <t>Student C</t>
  </si>
  <si>
    <t>Student D</t>
  </si>
  <si>
    <t>62</t>
  </si>
  <si>
    <t>63</t>
  </si>
  <si>
    <t>Students</t>
  </si>
  <si>
    <t>00:00-00:02</t>
  </si>
  <si>
    <t>00:02-00:06</t>
  </si>
  <si>
    <t xml:space="preserve">Good morning my dear Miss Chan and Mr. Chan. </t>
  </si>
  <si>
    <t>Sure.</t>
  </si>
  <si>
    <t>00:29-00:30</t>
  </si>
  <si>
    <t>00:26-00:29</t>
  </si>
  <si>
    <t>00:07-00:26</t>
  </si>
  <si>
    <t xml:space="preserve">George doesn't want to be old. </t>
  </si>
  <si>
    <t>00:30-00:32</t>
  </si>
  <si>
    <t xml:space="preserve">Can I talk about George? </t>
  </si>
  <si>
    <t>George doesn't want to be old. So immediately, he says getting married would mean he's going to get old, right? Anything else? Good job.</t>
  </si>
  <si>
    <t>00:32-00:41</t>
  </si>
  <si>
    <t>00:41-00:44</t>
  </si>
  <si>
    <t xml:space="preserve">Emily says, George isn't perfect. </t>
  </si>
  <si>
    <t xml:space="preserve">Oh, George isn't perfect. You remember in what way? In what way? In what way is he not perfect? Does anyone remember? </t>
  </si>
  <si>
    <t xml:space="preserve">He doesn't talk to you. </t>
  </si>
  <si>
    <t>Ah, doesn't talk. Oh, very good. OK, anything else?</t>
  </si>
  <si>
    <t>No more freedom</t>
  </si>
  <si>
    <t>00:44-00:52</t>
  </si>
  <si>
    <t>00:52-00:54</t>
  </si>
  <si>
    <t>00:54-00:57</t>
  </si>
  <si>
    <t>00:57-00:58</t>
  </si>
  <si>
    <t xml:space="preserve">No more freedom. I think it's a very valid point, right? Anyone else in remember? Yeah? </t>
  </si>
  <si>
    <t>00:58-01:06</t>
  </si>
  <si>
    <t>George needs to go to university and won't be seeing Emily for a long time.</t>
  </si>
  <si>
    <t>01:06-01:17</t>
  </si>
  <si>
    <t>01:17-01:23</t>
  </si>
  <si>
    <t>01:23-01:30</t>
  </si>
  <si>
    <t>01:30-02:47</t>
  </si>
  <si>
    <t>Duncan</t>
  </si>
  <si>
    <t>02:47-02:57</t>
  </si>
  <si>
    <t>Matt</t>
  </si>
  <si>
    <t>They don’t talk to each other Which word is the extract that you think that way, maybe i will just ask someone else, Matt, which word in the extract…</t>
  </si>
  <si>
    <t>02:57-03:07</t>
  </si>
  <si>
    <t>03:07-03:11</t>
  </si>
  <si>
    <t>stop to speak to anybody anymore</t>
  </si>
  <si>
    <t>Because george want to be with partner and don’t want to go to agriculture school at the first day , but he also want to settle down</t>
  </si>
  <si>
    <t>Lee-shan</t>
  </si>
  <si>
    <t>03:11-04:25</t>
  </si>
  <si>
    <t>04:25-04:44</t>
  </si>
  <si>
    <t>05:30-05:37</t>
  </si>
  <si>
    <t>05:37-05:48</t>
  </si>
  <si>
    <t>Carey</t>
  </si>
  <si>
    <t>There was a problem,(inaudible) grown up and (inaudible)</t>
  </si>
  <si>
    <t>05:48-06:16</t>
  </si>
  <si>
    <t>Student E</t>
  </si>
  <si>
    <t>She mean the childhood is too short</t>
  </si>
  <si>
    <t>06:16-06:18</t>
  </si>
  <si>
    <t xml:space="preserve">My childhood is too short, okay, yes? </t>
  </si>
  <si>
    <t>06:18-06:20</t>
  </si>
  <si>
    <t>06:20-06:23</t>
  </si>
  <si>
    <t>The love is not enough?</t>
  </si>
  <si>
    <t>She doesn't love me enough. Oh, okay, ethan?</t>
  </si>
  <si>
    <t>No longer wife enough</t>
  </si>
  <si>
    <t>06:23-06:29</t>
  </si>
  <si>
    <t>06:29-06:30</t>
  </si>
  <si>
    <t>Ethan</t>
  </si>
  <si>
    <t xml:space="preserve">I think it's like they didn't have much time to spend with their family. And if it was a bad marriage, they would probably have to spend with their partner for the rest of their life. </t>
  </si>
  <si>
    <t>06:30-06:42</t>
  </si>
  <si>
    <t>OK, so she might miss the time she might spend with her family. Yeah, anymore.</t>
  </si>
  <si>
    <t>Student F</t>
  </si>
  <si>
    <t>06:42-06:50</t>
  </si>
  <si>
    <t>06:50-06:50</t>
  </si>
  <si>
    <t>06:50-08:08</t>
  </si>
  <si>
    <t>two</t>
  </si>
  <si>
    <t>08:08-08:08</t>
  </si>
  <si>
    <t xml:space="preserve">Good. Very good. At the end, we'll vote for some of the best advice to include in the lettering. I hope so. Here's an example. Listen up about your fears with your partner. They're likely to be in the same place. It's from me and me because I don't have a pair. Any questions? Okay, if not, you can take out your notes from your interview with your family or marriage models. And you can start writing once you get the data. All right, you can talk to your partner while we do the test. I'm going to write it down. And then I will give you guys 6 minutes. (Group discussion) If you are done with your notes, you can just write them forward, also write your name. Make sure you write down your problem. Make sure you write down your problem onto it. Hey guys, since everything is not sticking, I have rearranged them over here. Just put it down on the tray under the board. Okay, just put it on the tray. Okay, we're done, go back to your seats so we don't throw out the space. Just leave it on the tray. Thank you, thank you. Sit down when you're done. Okay, when you're done, make sure you close your eyes after you're done. Okay, let's see some of these. Alright, alright, are we all done? Yep, okay, close your eyes. Okay, let's make a love for number one who can pursue a career versus something down. Let me just write this up. Alright, let's see. Lindia say give more time to Emily and more attention you need to put down here to give all your time where you have to care for her. Okay what do you think? Can you elaborate on this? </t>
  </si>
  <si>
    <t>08:08-16:14</t>
  </si>
  <si>
    <t>Lindia</t>
  </si>
  <si>
    <t>16:14-16:22</t>
  </si>
  <si>
    <t>Do you think it's a problem that George decided in two minutes that he's not going to go?</t>
  </si>
  <si>
    <t>16:22-16:28</t>
  </si>
  <si>
    <t>Yes</t>
  </si>
  <si>
    <t>16:28-16:28</t>
  </si>
  <si>
    <t>16:29-16:51</t>
  </si>
  <si>
    <t>Aiden</t>
  </si>
  <si>
    <t>Yeah, so first of all, it's like balancing your career and you tell them how your state is very hard. But if you want a little bit of effort and it catches your mind, just try and write less, give some guidance and let God be your path and it can help to narrow it.</t>
  </si>
  <si>
    <t>16:51-17:21</t>
  </si>
  <si>
    <t>17:21-17:42</t>
  </si>
  <si>
    <t>Arena</t>
  </si>
  <si>
    <t>17:42-17:52</t>
  </si>
  <si>
    <t>17:52-18:36</t>
  </si>
  <si>
    <t>Yeah, yeah, it's fine. I feel like I will not find that one out. </t>
  </si>
  <si>
    <t>Student G</t>
  </si>
  <si>
    <t>18:36-18:40</t>
  </si>
  <si>
    <t>Okay, do you have anything to add? Not really. Do you have an example of what she might be able to say? </t>
  </si>
  <si>
    <t>I don't know. Maybe she makes a dinner and we're like, how do they out?</t>
  </si>
  <si>
    <t>18:40-18:48</t>
  </si>
  <si>
    <t>18:48-18:54</t>
  </si>
  <si>
    <t>Okay, so asking our questions, staying curious about one another, right? Does anyone else want to answer? Yes sure, alan</t>
  </si>
  <si>
    <t>18:54-19:10</t>
  </si>
  <si>
    <t>Alan</t>
  </si>
  <si>
    <t>I think he should listen to Anna more. He should take more of Anna's opinions.</t>
  </si>
  <si>
    <t>19:10-19:16</t>
  </si>
  <si>
    <t>19:16-19:55</t>
  </si>
  <si>
    <t>19:55-19:57</t>
  </si>
  <si>
    <t xml:space="preserve">Abby and Matt. That's pretty good. That's pretty good. Who can point out a key point from this quote? Renee, can you point out a key point from this quote? </t>
  </si>
  <si>
    <t>19:57-20:12</t>
  </si>
  <si>
    <t>Renee</t>
  </si>
  <si>
    <t xml:space="preserve">Growing old is not something that you should fear. </t>
  </si>
  <si>
    <t>20:12-20:16</t>
  </si>
  <si>
    <t>20:16-20:56</t>
  </si>
  <si>
    <t>20:56-21:07</t>
  </si>
  <si>
    <t>21:07-21:16</t>
  </si>
  <si>
    <t>No</t>
  </si>
  <si>
    <t>21:16-21:16</t>
  </si>
  <si>
    <t>Is it good for you? Why no, sophie?</t>
  </si>
  <si>
    <t>Sophie</t>
  </si>
  <si>
    <t>21:16-21:20</t>
  </si>
  <si>
    <t>21:20-21:27</t>
  </si>
  <si>
    <t xml:space="preserve">Job interview </t>
  </si>
  <si>
    <t>21:27-21:30</t>
  </si>
  <si>
    <t>21:27-21:27</t>
  </si>
  <si>
    <t>21:30-21:50</t>
  </si>
  <si>
    <t>Even though (inaudible)</t>
  </si>
  <si>
    <t>Student H</t>
  </si>
  <si>
    <t>21:50-22:03</t>
  </si>
  <si>
    <t>It's not the end of their relationship, it just get started . And also, Angel said you can't take your partner to the toilet.</t>
  </si>
  <si>
    <t>22:03-22:10</t>
  </si>
  <si>
    <t>Student I</t>
  </si>
  <si>
    <t> Let's say you're a guy. Let's say you're all guys, no girls. It would be quite a bit of a change to take your partner to the toilet. Or vice versa if you're a girl.</t>
  </si>
  <si>
    <t>22:10-22:26</t>
  </si>
  <si>
    <t>Do you guys have girls date with your girl friend girls? Guys with guy friends? Friendship dates?</t>
  </si>
  <si>
    <t>22:26-22:35</t>
  </si>
  <si>
    <t>Student J</t>
  </si>
  <si>
    <t>22:35-22:38</t>
  </si>
  <si>
    <t>22:38-22:50</t>
  </si>
  <si>
    <t>22:50-22:52</t>
  </si>
  <si>
    <t>Okay, this Balances board is really nice and I learned some skills from the bias. It's very good at batting tips.</t>
  </si>
  <si>
    <t>22:52-23:00</t>
  </si>
  <si>
    <t> Oh, we didn't. It's good to have yourself time to go back. Oh, I see. It is good to have yourself time finding the ball.</t>
  </si>
  <si>
    <t>Student K</t>
  </si>
  <si>
    <t>23:00-23:08</t>
  </si>
  <si>
    <t>23:08-24:10</t>
  </si>
  <si>
    <t>24:10-24:20</t>
  </si>
  <si>
    <t>Student L</t>
  </si>
  <si>
    <t> finding interesting things in my things</t>
  </si>
  <si>
    <t>Anyone else to answer that? Do you remember what is the theme?</t>
  </si>
  <si>
    <t>24:20-24:23</t>
  </si>
  <si>
    <t>24:23-24:39</t>
  </si>
  <si>
    <t>Student M</t>
  </si>
  <si>
    <t>24:39-27:13</t>
  </si>
  <si>
    <t>27:13-27:13</t>
  </si>
  <si>
    <t>27:13-27:30</t>
  </si>
  <si>
    <t>Background</t>
  </si>
  <si>
    <t>Student N</t>
  </si>
  <si>
    <t>27:30-27:34</t>
  </si>
  <si>
    <t>27:34-28:26</t>
  </si>
  <si>
    <t> Make an image of four girls in the park.  Make an image of four girls in a park with trees. Behind it, there's a city. They're sitting on a white mat. There are some cookies, two boxes of sushi, four champagne glasses. Here are the girls in beige clothes. One white dress, white veil behind her.</t>
  </si>
  <si>
    <t>28:26-28:55</t>
  </si>
  <si>
    <t xml:space="preserve">Okay is it a good prompt?  Any ideas how we can make it better? </t>
  </si>
  <si>
    <t>28:55-29:03</t>
  </si>
  <si>
    <t>29:03-29:04</t>
  </si>
  <si>
    <t>Student O</t>
  </si>
  <si>
    <t>Add more details</t>
  </si>
  <si>
    <t xml:space="preserve">Okay, I just said we need to be more specific. Any ideas where we can make it more specific? </t>
  </si>
  <si>
    <t>29:04-29:13</t>
  </si>
  <si>
    <t>Student P</t>
  </si>
  <si>
    <t>Four Asian</t>
  </si>
  <si>
    <t>29:13-29:14</t>
  </si>
  <si>
    <t> Four Asian. Alright, that's true. Yeah.</t>
  </si>
  <si>
    <t>29:14-29:20</t>
  </si>
  <si>
    <t>Student Q</t>
  </si>
  <si>
    <t>Maybe be more specific that they're holding the champagne bottles and which girls are wearing like, who might fail and stuff.</t>
  </si>
  <si>
    <t>29:20-29:30</t>
  </si>
  <si>
    <t>We don't know where</t>
  </si>
  <si>
    <t>29:53-29:54</t>
  </si>
  <si>
    <t>29:30-29:53</t>
  </si>
  <si>
    <t>29:54-34:01</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</si>
  <si>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</si>
  <si>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</si>
  <si>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</si>
  <si>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</si>
  <si>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</si>
  <si>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</si>
  <si>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</si>
  <si>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</si>
  <si>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</si>
  <si>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</si>
  <si>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</si>
  <si>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</si>
  <si>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</si>
  <si>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</si>
  <si>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</si>
  <si>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</si>
  <si>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</si>
  <si>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</si>
  <si>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</si>
  <si>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</si>
  <si>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</si>
  <si>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</si>
  <si>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</si>
  <si>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</si>
  <si>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</si>
  <si>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</si>
  <si>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</si>
  <si>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APT moves</t>
    <phoneticPr fontId="3" type="noConversion"/>
  </si>
  <si>
    <t>Say more(T3)</t>
  </si>
  <si>
    <t>Revoice(T1)</t>
  </si>
  <si>
    <t>Press for reasoning(T2)</t>
  </si>
  <si>
    <t>Challenge(T4)</t>
  </si>
  <si>
    <t>Restate(1678976054)</t>
  </si>
  <si>
    <t>Agree/Disagree(1678976089)</t>
  </si>
  <si>
    <t>Add on(1678976097)</t>
  </si>
  <si>
    <t>Explain others(T5)</t>
  </si>
  <si>
    <t>word</t>
    <phoneticPr fontId="3" type="noConversion"/>
  </si>
  <si>
    <t>Number</t>
    <phoneticPr fontId="3" type="noConversion"/>
  </si>
  <si>
    <t>Timestamp</t>
    <phoneticPr fontId="3" type="noConversion"/>
  </si>
  <si>
    <t>Speaker</t>
    <phoneticPr fontId="3" type="noConversion"/>
  </si>
  <si>
    <t>Utterance</t>
    <phoneticPr fontId="3" type="noConversion"/>
  </si>
  <si>
    <t>sum</t>
  </si>
  <si>
    <t>Teachers' total words</t>
  </si>
  <si>
    <t>Students' total words</t>
  </si>
  <si>
    <t>Total turns</t>
  </si>
  <si>
    <t>No. of teachers' turn</t>
  </si>
  <si>
    <t>No. of students' turn</t>
  </si>
  <si>
    <t xml:space="preserve"> Good morning class. </t>
    <phoneticPr fontId="3" type="noConversion"/>
  </si>
  <si>
    <t>Alright so that's it. Alright so, free wedding uncertainty and hold feet. Does anyone remember what happened? Do you remember what some of the concerns Emily and I have? I think it might be Emily. Yes.</t>
    <phoneticPr fontId="3" type="noConversion"/>
  </si>
  <si>
    <t>虽然还是同一个人回答，但是老师本意希望有其他人来回应</t>
    <phoneticPr fontId="3" type="noConversion"/>
  </si>
  <si>
    <t xml:space="preserve">I like that. I like that. Who can rephrase what he said in your own words? Yeah? </t>
    <phoneticPr fontId="3" type="noConversion"/>
  </si>
  <si>
    <t xml:space="preserve">I think there, George is going to the state school and then he's not going to be seeing Emily for a long time and he will be not often. </t>
    <phoneticPr fontId="3" type="noConversion"/>
  </si>
  <si>
    <t>Yeah, so that's also a concern, right? Imagine you're gonna get married, but then you're not gonna see your wife for a long time. So that's also another concern. So I'm going to show you some of the extracts from the book, all right? And as well as some problems. So take a look at the problems. First, pursuing a career from the seven down. Second is poor communication. Third is fear of growing up and losing youth. And fourth is I'm gonna make this open and see if anyone can think of what the last problem is, all right? So our first extract is, Emily says you began spending all your time at baseball you never stopped to speak to anybody anymore so it links a little bit to what you said and enjoy says I don't actually make sure where you were sitting the bleachers and who you were with for three days now and I've been trying to walk home with you but something's always gone in the way yesterday I was actually just standing over there waiting for you but then you walked home and you didn't even notice me right so what do you think a problem is raise your hand you see the numbers raise your hand, Number one, if you think it's pursuing a career, number two, poor communication, et cetera. Okay, everyone, you can raise your hand. What do you think it is? Just raise a number with your hand. Okay. Duncan, why do you think it's number two?</t>
    <phoneticPr fontId="3" type="noConversion"/>
  </si>
  <si>
    <t>Stop to speak to anybody anymore, and then george also said but actually i did want to speak to you, because he don’t have the chance or isn’t brave enough to walk up to her, so you are right!  So also he say that how could that? in mind for later. Remember you're also, if you have some advice from your parents, we're gonna use them today. Okay, second one. Okay, second extract. Emily, if I go away to state agriculture college next year, will you write me a letter once in a while? Emily, I certainly will. George says, you know what? Whenever I met a farmer and asked him if he was going to go to university, some of ever can say it's a waste of time. I guess new people aren't any better. Emily, I feel that you're as good as a friend at well. I don’t need to go to meet other people in other towns, I'm going to make up my mind right now. I actually won't go. That's quite funny, right? Within like two minutes he decided not to go. Okay, yeah, raise your hand everyone. Which problem do you think they are facing? Ooh, different answers. Okay, Lee-San, what do you think? Why do you think it's number one?</t>
    <phoneticPr fontId="3" type="noConversion"/>
  </si>
  <si>
    <t>此处Lee- Shan应该有用手表示自己选择的需要，老师顺着问下去</t>
    <phoneticPr fontId="3" type="noConversion"/>
  </si>
  <si>
    <t>Okay, so he's switching his mind, right? He's not sure. So yes, should I go to university or stay here? That was also another struggle. Okay, third one. George, George.</t>
    <phoneticPr fontId="3" type="noConversion"/>
  </si>
  <si>
    <t>So good job putting the text, it is pretty easy, next one I want you guys to figure it out what it is, emily says  but I don’t want to get marry, let’s just go away! All the time you say I was just going to say that I was your girl, there must be a lot of places we can go to. I'm just nervous, Emily. It's okay. So what is the problem here? You're married, why? Yeah? </t>
    <phoneticPr fontId="3" type="noConversion"/>
  </si>
  <si>
    <t>yes. That's also very true. I think I can combine all of these answers into one long one. OK? Fear of long-term prevalence. OK? So everything you just said is true. Just move into this one. I think this is something we can focus on today as well. Alright, so you have one advice for your parents, correct? And we're going to be using them today to write a short letter of advice to George and Emily based on all of those. So I wrote the introduction for you already. Prepare if you don’t have sure about growing up with commitment, no problem. What you are going to do is to review the responses you have collected from your parents. And then you're going to write them on the post-it notes. I'm going to give you some post-it notes. And you're going to stick them next to the corresponding problem that I'm going to show you on this slide. You can write at least two advice for two struggles. And your parents should not address it in your interview. You can come up with your own advice as well. Make sure you write your names on the board. So how many post-it notes per pair do you have to write?</t>
    <phoneticPr fontId="3" type="noConversion"/>
  </si>
  <si>
    <t xml:space="preserve">Do you think it's a problem that George decided in two minutes that he's not going to go? So do you think we can build on that advice? Does anyone want to add a little bit of advice to this one? Let's see. Aiden, your pair also talked about this one, right? Can you build on this advice and give some advice to how maybe they don't? You decided in two minutes? </t>
    <phoneticPr fontId="3" type="noConversion"/>
  </si>
  <si>
    <t>Ok, so the girls also say he should balance both the career and emily at the same time, and any other solutions? If you want to see both your wife and pursue it for your same time. How is it, arena?</t>
    <phoneticPr fontId="3" type="noConversion"/>
  </si>
  <si>
    <t xml:space="preserve">That's true. Wow, we thought about that. She can travel with him. Emily doesn’t have anything to do.  She used to have a lot of dreams, but now she doesn't. All right, let's move on to communication. Good job for this one. Let's see. Ooh, okay, team line are made. Let's see. If you're going to be in a long-term relationship with someone, you need to talk. It helps to understand your point of view and more often than not, and they feel the same way. Talking about maintaining regular communication is a good way to stop misunderstandings. Okay, let me see.  They're an angel. We also wrote about this one. Do you agree? What do you think? </t>
    <phoneticPr fontId="3" type="noConversion"/>
  </si>
  <si>
    <t xml:space="preserve">Heard it boys? Getting partners’ opinion, often when she voices up, to let someone to point out your flaw. Let's move on to growing up. I think this is pretty important. These two are pretty important in terms of your play in July, right? Because you're actually saying these things. Okay. Don't be scared, Emily and George. Getting married doesn't mean growing old. It's a memory, a time in your life where you two live forever in happiness. Marriage and growing old is like a ceremony where you guys live in a loophole of forever youth. Guess who wrote that? </t>
    <phoneticPr fontId="3" type="noConversion"/>
  </si>
  <si>
    <t>Yeah, it's not something that you should fear because as long as your heart is young, then you're forever young together, right? Because love makes you young. All right. Be mature and excellent. This is a good advice everyone. Be mature and act like it. All right, I'm liking some of these. Last one, commitment. commitment, commitment. Ethan said include your partner in everyday activities. Any examples you can give us in the daily life?</t>
    <phoneticPr fontId="3" type="noConversion"/>
  </si>
  <si>
    <t xml:space="preserve">Thank you very much.  You guys are very excited. So number one, who is the good and bad thing out wearer makeup? Camera, say it cannot hear. </t>
    <phoneticPr fontId="3" type="noConversion"/>
  </si>
  <si>
    <t>So it is like what they say hey you can live together and move into college. But I will just wonder the time tho, can you bring your partner into all your activities?</t>
    <phoneticPr fontId="3" type="noConversion"/>
  </si>
  <si>
    <t> I know right so you can't just bring your wife to the job interview that can't be right so yes but if you include them in all other possible activities yeah and you asked me this one and what other situations can you not include your partner in?</t>
    <phoneticPr fontId="3" type="noConversion"/>
  </si>
  <si>
    <t xml:space="preserve">I see. Wouldn't you like it if a girl was going to you? No. Exactly. Right? So, yes, there are times when you spend with your friends, but also you can still come back and say, hey, where did you go last time? </t>
    <phoneticPr fontId="3" type="noConversion"/>
  </si>
  <si>
    <t xml:space="preserve">We went to the Balances. </t>
    <phoneticPr fontId="3" type="noConversion"/>
  </si>
  <si>
    <t>Okay, so I learned some picking up ball skills from Tobias, and I want to bring you there next time. If you say that to him, that's pretty nice, right? Alright, so I'll compile these into a letter and I'll show you next week. It'll be pretty nice. Okay, but I do want to get moving on to one more thing, because do you think you guys have long term relationships too? Yes. I think so. So you guys also have longer relationships, right? I know you're not getting married, but it still applies to you. And do you remember what the overall theme is?</t>
    <phoneticPr fontId="3" type="noConversion"/>
  </si>
  <si>
    <t> What's my valentine? What's my valentine? Normal stuff. Normal stuff, everyday life, right? So finding the good things in everyday life. So I invite you all to close your eyes. Close your eyes, everyone. Now imagine, close your eyes, imagine a time. Imagine a love time, okay? You have a friend, you have a family. I don't know if some of you might have crushes, but probably friends and family, okay? Some of you love. Can you picture that? All right. And now picture a time that you really treasure spending with them. Picture a moment. Is it an everyday life? But I wanted to reflect some sort of long-term commitment. Is there a time where, I don't know, maybe you have challenges like Emily and George, or just a regular thing that shows long-term commitment. Any picture of that? Or something you treasure, a moment you treasure if you cannot find one. Okay, you have it in your mind, right? Keep that in your mind, open your eyes. I'm gonna show you your next sort of task. And I'm also gonna show you my treasured moment that shows long-term commitment. Take a look at that, that's me. And this friend of mine is getting married actually And all these we grew up together since primary school, middle school, high school, okay, and we're gonna be her bridesmaids So I think this photo, we actually made a surprise for Nick, so it's pretty cute This photo I think shows long-term commitment to our friendship So what you're gonna do is you're gonna transform what you thought of in your mind into an AI generated image. So you are going to use AI. Alright, alright. So what I'm going to do now is teach you to write a prompt and your task coming later will be to generate this image as well as paste me the prompt so we can see the prompt in the description and tell us why this is a moment that shows long-term commitment to your long-term commitment to your love. So now we're going to write a prompt. Any ideas? Have you ever generated an AI in a shape or form?</t>
    <phoneticPr fontId="3" type="noConversion"/>
  </si>
  <si>
    <t>Yes. OK. So what do you do? What's something you need to describe? OK. First of all, I think you need to describe the subject. OK. So who are the subjects here? That's us, right? So what are we doing? What are we looking like? So what else do you need to describe? So I can't tell you what else you need to describe.</t>
    <phoneticPr fontId="3" type="noConversion"/>
  </si>
  <si>
    <t>  Background, very good! Okay, so what's in the background? A chat. A chat. No, because it's written in my book. You also need very simple and very direct language. I once tried a million there, I was like, oh I want squats like flower petals. And then I forget to do flower petals. So don't use simple. Be very specific and very direct. What else do we need? Have you ever tried generating your photo into an anime style? Or any other styles? Either way, make sure you can use an adjective to specify the art style, such as photorealistic, painting versions, and magic. And how can we write a duck trot? Let's see, I'm gonna show you this example. Luther, read this out for me. Yes, sure, Ethan?</t>
    <phoneticPr fontId="3" type="noConversion"/>
  </si>
  <si>
    <t xml:space="preserve">Ah, okay. That's true, okay, they are holding it. Yeah, anything else? We missed out the lake, right? Very true. How about there are? Is there any problems if there are? There are some cookies. Yes, Matt? </t>
    <phoneticPr fontId="3" type="noConversion"/>
  </si>
  <si>
    <t>Exactly, we don't know where, right? So that's a good question.The structure is very messy, suddenly it is about the mat, suddenly it is about the person, suddenly it is about the cookies. I think there can be a better structure to it. AI is still a little bit stupid. You need to give it a very clear instruction. So this is what I actually wrote. I actually wrote more than this, but I think it is enough. Created an anime style image, so I specify anime, for girls. They're sitting on a white picnic mat, on the mat, so I guide the A-grade girls to the mat to look in a certain procedure. Girls first and then very close to the girl as a map. There's silver playdoh piece on the painting map as well as a portion of pink glasses decorated with blue ribbons. Three of the girls are wearing fake clothing, one's wearing a dress with white veil. And then I talk about the background, right? There's a park, some trees, in the background there's a river, so we've missed out the river. And behind the river, there's a skyline on the city. So is this better? Okay, so do you think you can do that? All right, so you wanna see what the AI-generated images? Is it good? Yeah, it's pretty good, it's pretty good. So let's see how well you can do the same thing. So to restate, you're to go to Gemini, that's what I recommend, you can use any other platform. If you use Gemini, make sure you set it to create image. Right from revisiting a certain moment, And then you have to paste both the image and the prompt onto our page. It's the same page as your interview. Write a 50 word prompt there and just generate and remembers how that demonstrates long-term. Is that clear? Yes. Is that clear? What do you think this will do? So we have one minute. I'll let you take out your iPads. You can go on to Gemini or any other AI community apps if you have any questions. So I'll have time to ask. And I will collect these and I will piece together a good letter of advice that we can take along with us. Any troubles when creating images? Are you on the internet? You know what to do. Starting a new chat, right? All right, if you have no questions, stand up please. Thank you guys for being with us.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</si>
</sst>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indexed="8"/>
      <name val="等线"/>
      <family val="2"/>
      <scheme val="minor"/>
    </font>
    <font>
      <sz val="11"/>
      <color rgb="FF000000"/>
      <name val="Arial"/>
      <family val="2"/>
    </font>
    <font>
      <b/>
      <sz val="12"/>
      <color theme="1"/>
      <name val="Calibri"/>
      <family val="2"/>
    </font>
    <font>
      <sz val="9"/>
      <name val="等线"/>
      <family val="3"/>
      <charset val="134"/>
      <scheme val="minor"/>
    </font>
    <font>
      <sz val="12"/>
      <color indexed="8"/>
      <name val="Helvetica"/>
      <family val="2"/>
    </font>
    <font>
      <sz val="11"/>
      <color indexed="8"/>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vertical="center"/>
    </xf>
    <xf numFmtId="20" fontId="0" fillId="0" borderId="0" xfId="0" applyNumberFormat="1"/>
    <xf numFmtId="46" fontId="0" fillId="0" borderId="0" xfId="0" applyNumberFormat="1"/>
    <xf numFmtId="0" fontId="2" fillId="0" borderId="0" xfId="0" applyFont="1" applyAlignment="1">
      <alignment vertical="center"/>
    </xf>
    <xf numFmtId="0" fontId="4" fillId="0" borderId="0" xfId="0" applyFont="1"/>
    <xf numFmtId="0" fontId="5" fillId="0" borderId="0" xfId="0" applyFont="1"/>
    <xf numFmtId="0" fontId="2"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9"/>
  <sheetViews>
    <sheetView tabSelected="1" zoomScale="160" zoomScaleNormal="204" workbookViewId="0">
      <pane ySplit="2" topLeftCell="A84" activePane="bottomLeft" state="frozen"/>
      <selection pane="bottomLeft" activeCell="K90" sqref="K90"/>
    </sheetView>
  </sheetViews>
  <sheetFormatPr baseColWidth="10" defaultColWidth="8.83203125" defaultRowHeight="15"/>
  <cols>
    <col min="2" max="2" width="12.1640625" customWidth="1"/>
    <col min="3" max="3" width="14.6640625" customWidth="1"/>
    <col min="4" max="4" width="8.6640625" customWidth="1"/>
  </cols>
  <sheetData>
    <row r="1" spans="1:14" ht="16">
      <c r="A1" s="8" t="s">
        <v>276</v>
      </c>
      <c r="B1" s="8" t="s">
        <v>277</v>
      </c>
      <c r="C1" s="8" t="s">
        <v>278</v>
      </c>
      <c r="D1" s="8" t="s">
        <v>279</v>
      </c>
      <c r="E1" s="8" t="s">
        <v>275</v>
      </c>
      <c r="F1" s="8" t="s">
        <v>266</v>
      </c>
      <c r="G1" s="8"/>
      <c r="H1" s="8"/>
      <c r="I1" s="8"/>
      <c r="J1" s="8"/>
      <c r="K1" s="8"/>
      <c r="L1" s="8"/>
      <c r="M1" s="8"/>
    </row>
    <row r="2" spans="1:14" ht="16">
      <c r="A2" s="8"/>
      <c r="B2" s="8"/>
      <c r="C2" s="8"/>
      <c r="D2" s="8"/>
      <c r="E2" s="8"/>
      <c r="F2" s="5" t="s">
        <v>267</v>
      </c>
      <c r="G2" s="5" t="s">
        <v>268</v>
      </c>
      <c r="H2" s="5" t="s">
        <v>269</v>
      </c>
      <c r="I2" s="5" t="s">
        <v>270</v>
      </c>
      <c r="J2" s="5" t="s">
        <v>271</v>
      </c>
      <c r="K2" s="5" t="s">
        <v>272</v>
      </c>
      <c r="L2" s="5" t="s">
        <v>273</v>
      </c>
      <c r="M2" s="5" t="s">
        <v>274</v>
      </c>
    </row>
    <row r="3" spans="1:14">
      <c r="A3" t="s">
        <v>0</v>
      </c>
      <c r="B3" t="s">
        <v>70</v>
      </c>
      <c r="C3" t="s">
        <v>1</v>
      </c>
      <c r="D3" s="1" t="s">
        <v>286</v>
      </c>
      <c r="E3">
        <f>LEN(D3)-LEN(SUBSTITUTE(D3," ",""))+1</f>
        <v>4</v>
      </c>
    </row>
    <row r="4" spans="1:14">
      <c r="A4" t="s">
        <v>2</v>
      </c>
      <c r="B4" t="s">
        <v>71</v>
      </c>
      <c r="C4" t="s">
        <v>69</v>
      </c>
      <c r="D4" s="1" t="s">
        <v>72</v>
      </c>
      <c r="E4">
        <f>LEN(D4)-LEN(SUBSTITUTE(D4," ",""))+1</f>
        <v>10</v>
      </c>
    </row>
    <row r="5" spans="1:14">
      <c r="A5" t="s">
        <v>3</v>
      </c>
      <c r="B5" s="3" t="s">
        <v>76</v>
      </c>
      <c r="C5" t="s">
        <v>1</v>
      </c>
      <c r="D5" s="1" t="s">
        <v>287</v>
      </c>
      <c r="E5">
        <f t="shared" ref="E5:E68" si="0">LEN(D5)-LEN(SUBSTITUTE(D5," ",""))+1</f>
        <v>36</v>
      </c>
    </row>
    <row r="6" spans="1:14">
      <c r="A6" t="s">
        <v>4</v>
      </c>
      <c r="B6" t="s">
        <v>75</v>
      </c>
      <c r="C6" t="s">
        <v>63</v>
      </c>
      <c r="D6" s="1" t="s">
        <v>79</v>
      </c>
      <c r="E6">
        <f t="shared" si="0"/>
        <v>6</v>
      </c>
    </row>
    <row r="7" spans="1:14">
      <c r="A7" t="s">
        <v>5</v>
      </c>
      <c r="B7" s="3" t="s">
        <v>74</v>
      </c>
      <c r="C7" t="s">
        <v>1</v>
      </c>
      <c r="D7" s="1" t="s">
        <v>73</v>
      </c>
      <c r="E7">
        <f t="shared" si="0"/>
        <v>1</v>
      </c>
    </row>
    <row r="8" spans="1:14">
      <c r="A8" t="s">
        <v>6</v>
      </c>
      <c r="B8" t="s">
        <v>78</v>
      </c>
      <c r="C8" t="s">
        <v>63</v>
      </c>
      <c r="D8" s="1" t="s">
        <v>77</v>
      </c>
      <c r="E8">
        <f t="shared" si="0"/>
        <v>7</v>
      </c>
    </row>
    <row r="9" spans="1:14">
      <c r="A9" t="s">
        <v>7</v>
      </c>
      <c r="B9" s="3" t="s">
        <v>81</v>
      </c>
      <c r="C9" t="s">
        <v>1</v>
      </c>
      <c r="D9" s="1" t="s">
        <v>80</v>
      </c>
      <c r="E9">
        <f t="shared" si="0"/>
        <v>24</v>
      </c>
      <c r="F9">
        <v>1</v>
      </c>
    </row>
    <row r="10" spans="1:14">
      <c r="A10" t="s">
        <v>8</v>
      </c>
      <c r="B10" s="3" t="s">
        <v>82</v>
      </c>
      <c r="C10" t="s">
        <v>63</v>
      </c>
      <c r="D10" s="1" t="s">
        <v>83</v>
      </c>
      <c r="E10">
        <f t="shared" si="0"/>
        <v>6</v>
      </c>
    </row>
    <row r="11" spans="1:14">
      <c r="A11" t="s">
        <v>9</v>
      </c>
      <c r="B11" t="s">
        <v>88</v>
      </c>
      <c r="C11" t="s">
        <v>1</v>
      </c>
      <c r="D11" s="1" t="s">
        <v>84</v>
      </c>
      <c r="E11">
        <f t="shared" si="0"/>
        <v>23</v>
      </c>
      <c r="L11">
        <v>1</v>
      </c>
      <c r="N11" t="s">
        <v>288</v>
      </c>
    </row>
    <row r="12" spans="1:14">
      <c r="A12" t="s">
        <v>10</v>
      </c>
      <c r="B12" t="s">
        <v>89</v>
      </c>
      <c r="C12" t="s">
        <v>63</v>
      </c>
      <c r="D12" s="1" t="s">
        <v>85</v>
      </c>
      <c r="E12">
        <f t="shared" si="0"/>
        <v>6</v>
      </c>
    </row>
    <row r="13" spans="1:14">
      <c r="A13" t="s">
        <v>11</v>
      </c>
      <c r="B13" t="s">
        <v>90</v>
      </c>
      <c r="C13" t="s">
        <v>1</v>
      </c>
      <c r="D13" s="1" t="s">
        <v>86</v>
      </c>
      <c r="E13">
        <f t="shared" si="0"/>
        <v>9</v>
      </c>
      <c r="L13">
        <v>1</v>
      </c>
    </row>
    <row r="14" spans="1:14">
      <c r="A14" t="s">
        <v>12</v>
      </c>
      <c r="B14" t="s">
        <v>91</v>
      </c>
      <c r="C14" t="s">
        <v>64</v>
      </c>
      <c r="D14" s="1" t="s">
        <v>87</v>
      </c>
      <c r="E14">
        <f t="shared" si="0"/>
        <v>3</v>
      </c>
    </row>
    <row r="15" spans="1:14">
      <c r="A15" t="s">
        <v>13</v>
      </c>
      <c r="B15" t="s">
        <v>93</v>
      </c>
      <c r="C15" t="s">
        <v>1</v>
      </c>
      <c r="D15" s="1" t="s">
        <v>92</v>
      </c>
      <c r="E15">
        <f t="shared" si="0"/>
        <v>17</v>
      </c>
      <c r="L15">
        <v>1</v>
      </c>
    </row>
    <row r="16" spans="1:14">
      <c r="A16" t="s">
        <v>14</v>
      </c>
      <c r="B16" t="s">
        <v>95</v>
      </c>
      <c r="C16" t="s">
        <v>65</v>
      </c>
      <c r="D16" s="1" t="s">
        <v>290</v>
      </c>
      <c r="E16">
        <f t="shared" si="0"/>
        <v>30</v>
      </c>
    </row>
    <row r="17" spans="1:14">
      <c r="A17" t="s">
        <v>15</v>
      </c>
      <c r="B17" t="s">
        <v>96</v>
      </c>
      <c r="C17" t="s">
        <v>1</v>
      </c>
      <c r="D17" s="1" t="s">
        <v>289</v>
      </c>
      <c r="E17">
        <f t="shared" si="0"/>
        <v>18</v>
      </c>
      <c r="J17">
        <v>1</v>
      </c>
    </row>
    <row r="18" spans="1:14">
      <c r="A18" t="s">
        <v>16</v>
      </c>
      <c r="B18" t="s">
        <v>97</v>
      </c>
      <c r="C18" t="s">
        <v>66</v>
      </c>
      <c r="D18" s="1" t="s">
        <v>94</v>
      </c>
      <c r="E18">
        <f t="shared" si="0"/>
        <v>15</v>
      </c>
    </row>
    <row r="19" spans="1:14">
      <c r="A19" t="s">
        <v>17</v>
      </c>
      <c r="B19" t="s">
        <v>98</v>
      </c>
      <c r="C19" t="s">
        <v>1</v>
      </c>
      <c r="D19" s="1" t="s">
        <v>291</v>
      </c>
      <c r="E19">
        <f t="shared" si="0"/>
        <v>257</v>
      </c>
    </row>
    <row r="20" spans="1:14">
      <c r="A20" t="s">
        <v>18</v>
      </c>
      <c r="B20" s="3" t="s">
        <v>100</v>
      </c>
      <c r="C20" t="s">
        <v>99</v>
      </c>
      <c r="D20" s="1" t="s">
        <v>28</v>
      </c>
      <c r="E20">
        <f t="shared" si="0"/>
        <v>1</v>
      </c>
    </row>
    <row r="21" spans="1:14">
      <c r="A21" t="s">
        <v>19</v>
      </c>
      <c r="B21" t="s">
        <v>103</v>
      </c>
      <c r="C21" t="s">
        <v>1</v>
      </c>
      <c r="D21" s="1" t="s">
        <v>102</v>
      </c>
      <c r="E21">
        <f t="shared" si="0"/>
        <v>29</v>
      </c>
      <c r="L21">
        <v>1</v>
      </c>
    </row>
    <row r="22" spans="1:14">
      <c r="A22" t="s">
        <v>20</v>
      </c>
      <c r="B22" t="s">
        <v>104</v>
      </c>
      <c r="C22" t="s">
        <v>101</v>
      </c>
      <c r="D22" s="1" t="s">
        <v>105</v>
      </c>
      <c r="E22">
        <f t="shared" si="0"/>
        <v>6</v>
      </c>
    </row>
    <row r="23" spans="1:14">
      <c r="A23" t="s">
        <v>21</v>
      </c>
      <c r="B23" t="s">
        <v>108</v>
      </c>
      <c r="C23" t="s">
        <v>1</v>
      </c>
      <c r="D23" s="1" t="s">
        <v>292</v>
      </c>
      <c r="E23">
        <f t="shared" si="0"/>
        <v>216</v>
      </c>
      <c r="H23">
        <v>1</v>
      </c>
      <c r="N23" t="s">
        <v>293</v>
      </c>
    </row>
    <row r="24" spans="1:14">
      <c r="A24" t="s">
        <v>22</v>
      </c>
      <c r="B24" t="s">
        <v>109</v>
      </c>
      <c r="C24" t="s">
        <v>107</v>
      </c>
      <c r="D24" s="1" t="s">
        <v>106</v>
      </c>
      <c r="E24">
        <f t="shared" si="0"/>
        <v>27</v>
      </c>
    </row>
    <row r="25" spans="1:14">
      <c r="A25" t="s">
        <v>23</v>
      </c>
      <c r="B25" t="s">
        <v>110</v>
      </c>
      <c r="C25" s="1" t="s">
        <v>1</v>
      </c>
      <c r="D25" s="2" t="s">
        <v>294</v>
      </c>
      <c r="E25">
        <f t="shared" si="0"/>
        <v>30</v>
      </c>
    </row>
    <row r="26" spans="1:14">
      <c r="A26" t="s">
        <v>24</v>
      </c>
      <c r="B26" t="s">
        <v>111</v>
      </c>
      <c r="C26" t="s">
        <v>112</v>
      </c>
      <c r="D26" s="1" t="s">
        <v>113</v>
      </c>
      <c r="E26">
        <f t="shared" si="0"/>
        <v>8</v>
      </c>
    </row>
    <row r="27" spans="1:14">
      <c r="A27" t="s">
        <v>25</v>
      </c>
      <c r="B27" s="3" t="s">
        <v>114</v>
      </c>
      <c r="C27" s="1" t="s">
        <v>1</v>
      </c>
      <c r="D27" s="2" t="s">
        <v>295</v>
      </c>
      <c r="E27">
        <f t="shared" si="0"/>
        <v>79</v>
      </c>
    </row>
    <row r="28" spans="1:14">
      <c r="A28" t="s">
        <v>26</v>
      </c>
      <c r="B28" t="s">
        <v>117</v>
      </c>
      <c r="C28" t="s">
        <v>115</v>
      </c>
      <c r="D28" s="1" t="s">
        <v>116</v>
      </c>
      <c r="E28">
        <f t="shared" si="0"/>
        <v>7</v>
      </c>
    </row>
    <row r="29" spans="1:14">
      <c r="A29" t="s">
        <v>27</v>
      </c>
      <c r="B29" t="s">
        <v>119</v>
      </c>
      <c r="C29" s="1" t="s">
        <v>1</v>
      </c>
      <c r="D29" s="1" t="s">
        <v>118</v>
      </c>
      <c r="E29">
        <f t="shared" si="0"/>
        <v>8</v>
      </c>
      <c r="G29">
        <v>1</v>
      </c>
    </row>
    <row r="30" spans="1:14">
      <c r="A30" t="s">
        <v>29</v>
      </c>
      <c r="B30" t="s">
        <v>120</v>
      </c>
      <c r="C30" t="s">
        <v>115</v>
      </c>
      <c r="D30" s="1" t="s">
        <v>121</v>
      </c>
      <c r="E30">
        <f t="shared" si="0"/>
        <v>5</v>
      </c>
    </row>
    <row r="31" spans="1:14">
      <c r="A31" t="s">
        <v>30</v>
      </c>
      <c r="B31" t="s">
        <v>124</v>
      </c>
      <c r="C31" s="1" t="s">
        <v>1</v>
      </c>
      <c r="D31" s="1" t="s">
        <v>122</v>
      </c>
      <c r="E31">
        <f t="shared" si="0"/>
        <v>8</v>
      </c>
      <c r="L31">
        <v>1</v>
      </c>
    </row>
    <row r="32" spans="1:14">
      <c r="A32" t="s">
        <v>31</v>
      </c>
      <c r="B32" t="s">
        <v>125</v>
      </c>
      <c r="C32" t="s">
        <v>115</v>
      </c>
      <c r="D32" s="1" t="s">
        <v>123</v>
      </c>
      <c r="E32">
        <f t="shared" si="0"/>
        <v>4</v>
      </c>
    </row>
    <row r="33" spans="1:12">
      <c r="A33" t="s">
        <v>32</v>
      </c>
      <c r="B33" t="s">
        <v>128</v>
      </c>
      <c r="C33" s="1" t="s">
        <v>126</v>
      </c>
      <c r="D33" s="1" t="s">
        <v>127</v>
      </c>
      <c r="E33">
        <f t="shared" si="0"/>
        <v>36</v>
      </c>
    </row>
    <row r="34" spans="1:12">
      <c r="A34" t="s">
        <v>33</v>
      </c>
      <c r="B34" t="s">
        <v>131</v>
      </c>
      <c r="C34" t="s">
        <v>1</v>
      </c>
      <c r="D34" s="1" t="s">
        <v>129</v>
      </c>
      <c r="E34">
        <f t="shared" si="0"/>
        <v>15</v>
      </c>
      <c r="L34">
        <v>1</v>
      </c>
    </row>
    <row r="35" spans="1:12">
      <c r="A35" t="s">
        <v>34</v>
      </c>
      <c r="B35" t="s">
        <v>132</v>
      </c>
      <c r="C35" s="1" t="s">
        <v>130</v>
      </c>
      <c r="D35" s="1" t="s">
        <v>28</v>
      </c>
      <c r="E35">
        <f t="shared" si="0"/>
        <v>1</v>
      </c>
    </row>
    <row r="36" spans="1:12">
      <c r="A36" t="s">
        <v>35</v>
      </c>
      <c r="B36" t="s">
        <v>133</v>
      </c>
      <c r="C36" t="s">
        <v>1</v>
      </c>
      <c r="D36" s="1" t="s">
        <v>296</v>
      </c>
      <c r="E36">
        <f t="shared" si="0"/>
        <v>210</v>
      </c>
    </row>
    <row r="37" spans="1:12">
      <c r="A37" t="s">
        <v>36</v>
      </c>
      <c r="B37" t="s">
        <v>135</v>
      </c>
      <c r="C37" s="1" t="s">
        <v>69</v>
      </c>
      <c r="D37" s="1" t="s">
        <v>134</v>
      </c>
      <c r="E37">
        <f t="shared" si="0"/>
        <v>1</v>
      </c>
    </row>
    <row r="38" spans="1:12">
      <c r="A38" t="s">
        <v>37</v>
      </c>
      <c r="B38" t="s">
        <v>137</v>
      </c>
      <c r="C38" t="s">
        <v>1</v>
      </c>
      <c r="D38" s="1" t="s">
        <v>136</v>
      </c>
      <c r="E38">
        <f t="shared" si="0"/>
        <v>299</v>
      </c>
    </row>
    <row r="39" spans="1:12">
      <c r="A39" t="s">
        <v>38</v>
      </c>
      <c r="B39" t="s">
        <v>139</v>
      </c>
      <c r="C39" s="1" t="s">
        <v>138</v>
      </c>
      <c r="D39" s="1" t="s">
        <v>28</v>
      </c>
      <c r="E39">
        <f t="shared" si="0"/>
        <v>1</v>
      </c>
    </row>
    <row r="40" spans="1:12">
      <c r="A40" t="s">
        <v>39</v>
      </c>
      <c r="B40" t="s">
        <v>141</v>
      </c>
      <c r="C40" t="s">
        <v>1</v>
      </c>
      <c r="D40" s="2" t="s">
        <v>140</v>
      </c>
      <c r="E40">
        <f t="shared" si="0"/>
        <v>18</v>
      </c>
    </row>
    <row r="41" spans="1:12">
      <c r="A41" t="s">
        <v>40</v>
      </c>
      <c r="B41" t="s">
        <v>143</v>
      </c>
      <c r="C41" s="1" t="s">
        <v>138</v>
      </c>
      <c r="D41" s="1" t="s">
        <v>142</v>
      </c>
      <c r="E41">
        <f t="shared" si="0"/>
        <v>1</v>
      </c>
    </row>
    <row r="42" spans="1:12">
      <c r="A42" t="s">
        <v>41</v>
      </c>
      <c r="B42" t="s">
        <v>144</v>
      </c>
      <c r="C42" t="s">
        <v>1</v>
      </c>
      <c r="D42" s="1" t="s">
        <v>297</v>
      </c>
      <c r="E42">
        <f t="shared" si="0"/>
        <v>73</v>
      </c>
      <c r="L42">
        <v>1</v>
      </c>
    </row>
    <row r="43" spans="1:12">
      <c r="A43" t="s">
        <v>42</v>
      </c>
      <c r="B43" t="s">
        <v>147</v>
      </c>
      <c r="C43" s="1" t="s">
        <v>145</v>
      </c>
      <c r="D43" s="1" t="s">
        <v>146</v>
      </c>
      <c r="E43">
        <f t="shared" si="0"/>
        <v>55</v>
      </c>
    </row>
    <row r="44" spans="1:12">
      <c r="A44" t="s">
        <v>43</v>
      </c>
      <c r="B44" t="s">
        <v>148</v>
      </c>
      <c r="C44" t="s">
        <v>1</v>
      </c>
      <c r="D44" s="1" t="s">
        <v>298</v>
      </c>
      <c r="E44">
        <f t="shared" si="0"/>
        <v>41</v>
      </c>
      <c r="L44">
        <v>1</v>
      </c>
    </row>
    <row r="45" spans="1:12">
      <c r="A45" t="s">
        <v>44</v>
      </c>
      <c r="B45" t="s">
        <v>150</v>
      </c>
      <c r="C45" s="1" t="s">
        <v>149</v>
      </c>
      <c r="D45" s="1" t="s">
        <v>28</v>
      </c>
      <c r="E45">
        <f t="shared" si="0"/>
        <v>1</v>
      </c>
    </row>
    <row r="46" spans="1:12">
      <c r="A46" t="s">
        <v>45</v>
      </c>
      <c r="B46" t="s">
        <v>151</v>
      </c>
      <c r="C46" t="s">
        <v>1</v>
      </c>
      <c r="D46" s="1" t="s">
        <v>299</v>
      </c>
      <c r="E46">
        <f t="shared" si="0"/>
        <v>119</v>
      </c>
    </row>
    <row r="47" spans="1:12">
      <c r="A47" t="s">
        <v>46</v>
      </c>
      <c r="B47" t="s">
        <v>154</v>
      </c>
      <c r="C47" s="1" t="s">
        <v>153</v>
      </c>
      <c r="D47" s="2" t="s">
        <v>152</v>
      </c>
      <c r="E47">
        <f t="shared" si="0"/>
        <v>14</v>
      </c>
    </row>
    <row r="48" spans="1:12">
      <c r="A48" t="s">
        <v>47</v>
      </c>
      <c r="B48" t="s">
        <v>157</v>
      </c>
      <c r="C48" t="s">
        <v>1</v>
      </c>
      <c r="D48" s="2" t="s">
        <v>155</v>
      </c>
      <c r="E48">
        <f t="shared" si="0"/>
        <v>22</v>
      </c>
      <c r="F48">
        <v>1</v>
      </c>
    </row>
    <row r="49" spans="1:12">
      <c r="A49" t="s">
        <v>48</v>
      </c>
      <c r="B49" t="s">
        <v>158</v>
      </c>
      <c r="C49" s="1" t="s">
        <v>153</v>
      </c>
      <c r="D49" s="2" t="s">
        <v>156</v>
      </c>
      <c r="E49">
        <f t="shared" si="0"/>
        <v>15</v>
      </c>
    </row>
    <row r="50" spans="1:12">
      <c r="A50" t="s">
        <v>49</v>
      </c>
      <c r="B50" t="s">
        <v>160</v>
      </c>
      <c r="C50" t="s">
        <v>1</v>
      </c>
      <c r="D50" s="1" t="s">
        <v>159</v>
      </c>
      <c r="E50">
        <f t="shared" si="0"/>
        <v>20</v>
      </c>
      <c r="L50">
        <v>1</v>
      </c>
    </row>
    <row r="51" spans="1:12">
      <c r="A51" t="s">
        <v>50</v>
      </c>
      <c r="B51" t="s">
        <v>163</v>
      </c>
      <c r="C51" s="1" t="s">
        <v>161</v>
      </c>
      <c r="D51" s="1" t="s">
        <v>162</v>
      </c>
      <c r="E51">
        <f t="shared" si="0"/>
        <v>15</v>
      </c>
    </row>
    <row r="52" spans="1:12">
      <c r="A52" t="s">
        <v>51</v>
      </c>
      <c r="B52" t="s">
        <v>164</v>
      </c>
      <c r="C52" t="s">
        <v>1</v>
      </c>
      <c r="D52" s="1" t="s">
        <v>300</v>
      </c>
      <c r="E52">
        <f t="shared" si="0"/>
        <v>101</v>
      </c>
    </row>
    <row r="53" spans="1:12">
      <c r="A53" t="s">
        <v>52</v>
      </c>
      <c r="B53" t="s">
        <v>165</v>
      </c>
      <c r="C53" s="1" t="s">
        <v>69</v>
      </c>
      <c r="D53" s="1" t="s">
        <v>28</v>
      </c>
      <c r="E53">
        <f t="shared" si="0"/>
        <v>1</v>
      </c>
    </row>
    <row r="54" spans="1:12">
      <c r="A54" t="s">
        <v>53</v>
      </c>
      <c r="B54" t="s">
        <v>167</v>
      </c>
      <c r="C54" t="s">
        <v>1</v>
      </c>
      <c r="D54" s="1" t="s">
        <v>166</v>
      </c>
      <c r="E54">
        <f t="shared" si="0"/>
        <v>31</v>
      </c>
    </row>
    <row r="55" spans="1:12">
      <c r="A55" t="s">
        <v>54</v>
      </c>
      <c r="B55" t="s">
        <v>170</v>
      </c>
      <c r="C55" s="1" t="s">
        <v>168</v>
      </c>
      <c r="D55" s="1" t="s">
        <v>169</v>
      </c>
      <c r="E55">
        <f t="shared" si="0"/>
        <v>10</v>
      </c>
    </row>
    <row r="56" spans="1:12">
      <c r="A56" t="s">
        <v>55</v>
      </c>
      <c r="B56" t="s">
        <v>171</v>
      </c>
      <c r="C56" t="s">
        <v>1</v>
      </c>
      <c r="D56" s="1" t="s">
        <v>301</v>
      </c>
      <c r="E56">
        <f t="shared" si="0"/>
        <v>75</v>
      </c>
    </row>
    <row r="57" spans="1:12">
      <c r="A57" t="s">
        <v>56</v>
      </c>
      <c r="B57" t="s">
        <v>172</v>
      </c>
      <c r="C57" s="1" t="s">
        <v>126</v>
      </c>
      <c r="D57" s="1" t="s">
        <v>302</v>
      </c>
      <c r="E57">
        <f t="shared" si="0"/>
        <v>28</v>
      </c>
    </row>
    <row r="58" spans="1:12">
      <c r="A58" t="s">
        <v>57</v>
      </c>
      <c r="B58" t="s">
        <v>173</v>
      </c>
      <c r="C58" t="s">
        <v>1</v>
      </c>
      <c r="D58" s="1" t="s">
        <v>303</v>
      </c>
      <c r="E58">
        <f t="shared" si="0"/>
        <v>33</v>
      </c>
    </row>
    <row r="59" spans="1:12">
      <c r="A59" t="s">
        <v>58</v>
      </c>
      <c r="B59" t="s">
        <v>175</v>
      </c>
      <c r="C59" s="1" t="s">
        <v>69</v>
      </c>
      <c r="D59" s="1" t="s">
        <v>174</v>
      </c>
      <c r="E59">
        <f t="shared" si="0"/>
        <v>1</v>
      </c>
    </row>
    <row r="60" spans="1:12">
      <c r="A60" t="s">
        <v>59</v>
      </c>
      <c r="B60" t="s">
        <v>178</v>
      </c>
      <c r="C60" t="s">
        <v>1</v>
      </c>
      <c r="D60" s="1" t="s">
        <v>176</v>
      </c>
      <c r="E60">
        <f t="shared" si="0"/>
        <v>8</v>
      </c>
      <c r="H60">
        <v>1</v>
      </c>
    </row>
    <row r="61" spans="1:12">
      <c r="A61" t="s">
        <v>60</v>
      </c>
      <c r="B61" t="s">
        <v>179</v>
      </c>
      <c r="C61" s="1" t="s">
        <v>177</v>
      </c>
      <c r="D61" s="1" t="s">
        <v>28</v>
      </c>
      <c r="E61">
        <f t="shared" si="0"/>
        <v>1</v>
      </c>
    </row>
    <row r="62" spans="1:12">
      <c r="A62" t="s">
        <v>61</v>
      </c>
      <c r="B62" t="s">
        <v>182</v>
      </c>
      <c r="C62" t="s">
        <v>1</v>
      </c>
      <c r="D62" s="1" t="s">
        <v>180</v>
      </c>
      <c r="E62">
        <f t="shared" si="0"/>
        <v>3</v>
      </c>
    </row>
    <row r="63" spans="1:12">
      <c r="A63" t="s">
        <v>62</v>
      </c>
      <c r="B63" t="s">
        <v>181</v>
      </c>
      <c r="C63" s="1" t="s">
        <v>177</v>
      </c>
      <c r="D63" s="1" t="s">
        <v>28</v>
      </c>
      <c r="E63">
        <f t="shared" si="0"/>
        <v>1</v>
      </c>
    </row>
    <row r="64" spans="1:12">
      <c r="A64" t="s">
        <v>67</v>
      </c>
      <c r="B64" t="s">
        <v>183</v>
      </c>
      <c r="C64" t="s">
        <v>1</v>
      </c>
      <c r="D64" s="2" t="s">
        <v>304</v>
      </c>
      <c r="E64">
        <f t="shared" si="0"/>
        <v>48</v>
      </c>
      <c r="L64">
        <v>1</v>
      </c>
    </row>
    <row r="65" spans="1:12">
      <c r="A65" t="s">
        <v>68</v>
      </c>
      <c r="B65" t="s">
        <v>186</v>
      </c>
      <c r="C65" s="1" t="s">
        <v>185</v>
      </c>
      <c r="D65" s="1" t="s">
        <v>184</v>
      </c>
      <c r="E65">
        <f t="shared" si="0"/>
        <v>3</v>
      </c>
    </row>
    <row r="66" spans="1:12">
      <c r="A66" t="s">
        <v>239</v>
      </c>
      <c r="B66" t="s">
        <v>188</v>
      </c>
      <c r="C66" t="s">
        <v>1</v>
      </c>
      <c r="D66" s="1" t="s">
        <v>187</v>
      </c>
      <c r="E66">
        <f t="shared" si="0"/>
        <v>24</v>
      </c>
    </row>
    <row r="67" spans="1:12">
      <c r="A67" t="s">
        <v>240</v>
      </c>
      <c r="B67" t="s">
        <v>191</v>
      </c>
      <c r="C67" s="1" t="s">
        <v>189</v>
      </c>
      <c r="D67" s="1" t="s">
        <v>190</v>
      </c>
      <c r="E67">
        <f t="shared" si="0"/>
        <v>35</v>
      </c>
    </row>
    <row r="68" spans="1:12">
      <c r="A68" t="s">
        <v>241</v>
      </c>
      <c r="B68" t="s">
        <v>193</v>
      </c>
      <c r="C68" t="s">
        <v>1</v>
      </c>
      <c r="D68" s="1" t="s">
        <v>192</v>
      </c>
      <c r="E68">
        <f t="shared" si="0"/>
        <v>17</v>
      </c>
    </row>
    <row r="69" spans="1:12">
      <c r="A69" t="s">
        <v>242</v>
      </c>
      <c r="B69" t="s">
        <v>195</v>
      </c>
      <c r="C69" s="1" t="s">
        <v>194</v>
      </c>
      <c r="D69" s="1" t="s">
        <v>28</v>
      </c>
      <c r="E69">
        <f t="shared" ref="E69:E92" si="1">LEN(D69)-LEN(SUBSTITUTE(D69," ",""))+1</f>
        <v>1</v>
      </c>
    </row>
    <row r="70" spans="1:12">
      <c r="A70" t="s">
        <v>243</v>
      </c>
      <c r="B70" t="s">
        <v>196</v>
      </c>
      <c r="C70" t="s">
        <v>1</v>
      </c>
      <c r="D70" s="1" t="s">
        <v>305</v>
      </c>
      <c r="E70">
        <f t="shared" si="1"/>
        <v>44</v>
      </c>
    </row>
    <row r="71" spans="1:12">
      <c r="A71" t="s">
        <v>244</v>
      </c>
      <c r="B71" t="s">
        <v>197</v>
      </c>
      <c r="C71" s="1" t="s">
        <v>194</v>
      </c>
      <c r="D71" s="1" t="s">
        <v>306</v>
      </c>
      <c r="E71">
        <f t="shared" si="1"/>
        <v>6</v>
      </c>
    </row>
    <row r="72" spans="1:12">
      <c r="A72" t="s">
        <v>245</v>
      </c>
      <c r="B72" t="s">
        <v>199</v>
      </c>
      <c r="C72" t="s">
        <v>1</v>
      </c>
      <c r="D72" s="1" t="s">
        <v>198</v>
      </c>
      <c r="E72">
        <f t="shared" si="1"/>
        <v>21</v>
      </c>
    </row>
    <row r="73" spans="1:12">
      <c r="A73" t="s">
        <v>246</v>
      </c>
      <c r="B73" t="s">
        <v>202</v>
      </c>
      <c r="C73" s="1" t="s">
        <v>201</v>
      </c>
      <c r="D73" s="1" t="s">
        <v>200</v>
      </c>
      <c r="E73">
        <f t="shared" si="1"/>
        <v>25</v>
      </c>
    </row>
    <row r="74" spans="1:12">
      <c r="A74" t="s">
        <v>247</v>
      </c>
      <c r="B74" t="s">
        <v>203</v>
      </c>
      <c r="C74" t="s">
        <v>1</v>
      </c>
      <c r="D74" s="1" t="s">
        <v>307</v>
      </c>
      <c r="E74">
        <f t="shared" si="1"/>
        <v>105</v>
      </c>
    </row>
    <row r="75" spans="1:12">
      <c r="A75" t="s">
        <v>248</v>
      </c>
      <c r="B75" t="s">
        <v>204</v>
      </c>
      <c r="C75" s="1" t="s">
        <v>205</v>
      </c>
      <c r="D75" s="1" t="s">
        <v>206</v>
      </c>
      <c r="E75">
        <f t="shared" si="1"/>
        <v>6</v>
      </c>
    </row>
    <row r="76" spans="1:12">
      <c r="A76" t="s">
        <v>249</v>
      </c>
      <c r="B76" t="s">
        <v>208</v>
      </c>
      <c r="C76" t="s">
        <v>1</v>
      </c>
      <c r="D76" s="1" t="s">
        <v>207</v>
      </c>
      <c r="E76">
        <f t="shared" si="1"/>
        <v>12</v>
      </c>
      <c r="L76">
        <v>1</v>
      </c>
    </row>
    <row r="77" spans="1:12">
      <c r="A77" t="s">
        <v>250</v>
      </c>
      <c r="B77" t="s">
        <v>209</v>
      </c>
      <c r="C77" s="1" t="s">
        <v>210</v>
      </c>
      <c r="D77" s="1" t="s">
        <v>28</v>
      </c>
      <c r="E77">
        <f t="shared" si="1"/>
        <v>1</v>
      </c>
    </row>
    <row r="78" spans="1:12">
      <c r="A78" t="s">
        <v>251</v>
      </c>
      <c r="B78" t="s">
        <v>211</v>
      </c>
      <c r="C78" t="s">
        <v>1</v>
      </c>
      <c r="D78" s="1" t="s">
        <v>308</v>
      </c>
      <c r="E78">
        <f t="shared" si="1"/>
        <v>365</v>
      </c>
    </row>
    <row r="79" spans="1:12">
      <c r="A79" t="s">
        <v>252</v>
      </c>
      <c r="B79" t="s">
        <v>212</v>
      </c>
      <c r="C79" s="1" t="s">
        <v>69</v>
      </c>
      <c r="D79" s="1" t="s">
        <v>142</v>
      </c>
      <c r="E79">
        <f t="shared" si="1"/>
        <v>1</v>
      </c>
    </row>
    <row r="80" spans="1:12">
      <c r="A80" t="s">
        <v>253</v>
      </c>
      <c r="B80" t="s">
        <v>213</v>
      </c>
      <c r="C80" t="s">
        <v>1</v>
      </c>
      <c r="D80" s="1" t="s">
        <v>309</v>
      </c>
      <c r="E80">
        <f t="shared" si="1"/>
        <v>64</v>
      </c>
    </row>
    <row r="81" spans="1:13">
      <c r="A81" t="s">
        <v>254</v>
      </c>
      <c r="B81" t="s">
        <v>216</v>
      </c>
      <c r="C81" s="1" t="s">
        <v>215</v>
      </c>
      <c r="D81" s="1" t="s">
        <v>214</v>
      </c>
      <c r="E81">
        <f t="shared" si="1"/>
        <v>1</v>
      </c>
    </row>
    <row r="82" spans="1:13">
      <c r="A82" t="s">
        <v>255</v>
      </c>
      <c r="B82" t="s">
        <v>217</v>
      </c>
      <c r="C82" t="s">
        <v>1</v>
      </c>
      <c r="D82" s="1" t="s">
        <v>310</v>
      </c>
      <c r="E82">
        <f t="shared" si="1"/>
        <v>129</v>
      </c>
    </row>
    <row r="83" spans="1:13">
      <c r="A83" t="s">
        <v>256</v>
      </c>
      <c r="B83" t="s">
        <v>219</v>
      </c>
      <c r="C83" s="1" t="s">
        <v>126</v>
      </c>
      <c r="D83" s="1" t="s">
        <v>218</v>
      </c>
      <c r="E83">
        <f t="shared" si="1"/>
        <v>57</v>
      </c>
    </row>
    <row r="84" spans="1:13">
      <c r="A84" t="s">
        <v>257</v>
      </c>
      <c r="B84" s="4" t="s">
        <v>221</v>
      </c>
      <c r="C84" t="s">
        <v>1</v>
      </c>
      <c r="D84" s="1" t="s">
        <v>220</v>
      </c>
      <c r="E84">
        <f t="shared" si="1"/>
        <v>15</v>
      </c>
      <c r="L84">
        <v>1</v>
      </c>
    </row>
    <row r="85" spans="1:13">
      <c r="A85" t="s">
        <v>258</v>
      </c>
      <c r="B85" t="s">
        <v>222</v>
      </c>
      <c r="C85" s="1" t="s">
        <v>223</v>
      </c>
      <c r="D85" s="1" t="s">
        <v>224</v>
      </c>
      <c r="E85">
        <f t="shared" si="1"/>
        <v>3</v>
      </c>
    </row>
    <row r="86" spans="1:13">
      <c r="A86" t="s">
        <v>259</v>
      </c>
      <c r="B86" t="s">
        <v>226</v>
      </c>
      <c r="C86" t="s">
        <v>1</v>
      </c>
      <c r="D86" s="1" t="s">
        <v>225</v>
      </c>
      <c r="E86">
        <f t="shared" si="1"/>
        <v>20</v>
      </c>
      <c r="L86">
        <v>1</v>
      </c>
    </row>
    <row r="87" spans="1:13">
      <c r="A87" t="s">
        <v>260</v>
      </c>
      <c r="B87" t="s">
        <v>229</v>
      </c>
      <c r="C87" s="1" t="s">
        <v>227</v>
      </c>
      <c r="D87" s="1" t="s">
        <v>228</v>
      </c>
      <c r="E87">
        <f t="shared" si="1"/>
        <v>2</v>
      </c>
    </row>
    <row r="88" spans="1:13">
      <c r="A88" t="s">
        <v>261</v>
      </c>
      <c r="B88" t="s">
        <v>231</v>
      </c>
      <c r="C88" t="s">
        <v>1</v>
      </c>
      <c r="D88" s="1" t="s">
        <v>230</v>
      </c>
      <c r="E88">
        <f t="shared" si="1"/>
        <v>6</v>
      </c>
    </row>
    <row r="89" spans="1:13">
      <c r="A89" t="s">
        <v>262</v>
      </c>
      <c r="B89" t="s">
        <v>234</v>
      </c>
      <c r="C89" s="1" t="s">
        <v>232</v>
      </c>
      <c r="D89" s="1" t="s">
        <v>233</v>
      </c>
      <c r="E89">
        <f t="shared" si="1"/>
        <v>21</v>
      </c>
    </row>
    <row r="90" spans="1:13">
      <c r="A90" t="s">
        <v>263</v>
      </c>
      <c r="B90" t="s">
        <v>237</v>
      </c>
      <c r="C90" t="s">
        <v>1</v>
      </c>
      <c r="D90" s="1" t="s">
        <v>311</v>
      </c>
      <c r="E90">
        <f t="shared" si="1"/>
        <v>38</v>
      </c>
    </row>
    <row r="91" spans="1:13">
      <c r="A91" t="s">
        <v>264</v>
      </c>
      <c r="B91" t="s">
        <v>236</v>
      </c>
      <c r="C91" s="1" t="s">
        <v>101</v>
      </c>
      <c r="D91" s="1" t="s">
        <v>235</v>
      </c>
      <c r="E91">
        <f t="shared" si="1"/>
        <v>4</v>
      </c>
    </row>
    <row r="92" spans="1:13">
      <c r="A92" t="s">
        <v>265</v>
      </c>
      <c r="B92" t="s">
        <v>238</v>
      </c>
      <c r="C92" t="s">
        <v>1</v>
      </c>
      <c r="D92" s="1" t="s">
        <v>312</v>
      </c>
      <c r="E92">
        <f t="shared" si="1"/>
        <v>421</v>
      </c>
    </row>
    <row r="94" spans="1:13" ht="16">
      <c r="D94" s="6" t="s">
        <v>280</v>
      </c>
      <c r="E94">
        <f>SUM(E3:E92)</f>
        <v>3645</v>
      </c>
      <c r="F94">
        <f t="shared" ref="F94:M94" si="2">SUM(F3:F92)</f>
        <v>2</v>
      </c>
      <c r="G94">
        <f t="shared" si="2"/>
        <v>1</v>
      </c>
      <c r="H94">
        <f t="shared" si="2"/>
        <v>2</v>
      </c>
      <c r="I94">
        <f t="shared" si="2"/>
        <v>0</v>
      </c>
      <c r="J94">
        <f t="shared" si="2"/>
        <v>1</v>
      </c>
      <c r="K94">
        <f t="shared" si="2"/>
        <v>0</v>
      </c>
      <c r="L94">
        <f t="shared" si="2"/>
        <v>13</v>
      </c>
      <c r="M94">
        <f t="shared" si="2"/>
        <v>0</v>
      </c>
    </row>
    <row r="95" spans="1:13">
      <c r="D95" s="7" t="s">
        <v>281</v>
      </c>
      <c r="E95">
        <f>SUMIF(C3:C92, "Teacher", E3:E92)</f>
        <v>3156</v>
      </c>
    </row>
    <row r="96" spans="1:13">
      <c r="D96" s="7" t="s">
        <v>282</v>
      </c>
      <c r="E96">
        <f>E94-E95</f>
        <v>489</v>
      </c>
    </row>
    <row r="97" spans="4:5">
      <c r="D97" s="7" t="s">
        <v>283</v>
      </c>
      <c r="E97">
        <v>90</v>
      </c>
    </row>
    <row r="98" spans="4:5">
      <c r="D98" s="7" t="s">
        <v>284</v>
      </c>
      <c r="E98">
        <f>COUNTIF(C3:C92, "Teacher")</f>
        <v>45</v>
      </c>
    </row>
    <row r="99" spans="4:5">
      <c r="D99" s="7" t="s">
        <v>285</v>
      </c>
      <c r="E99">
        <f>E97-E98</f>
        <v>45</v>
      </c>
    </row>
  </sheetData>
  <mergeCells count="6">
    <mergeCell ref="F1:M1"/>
    <mergeCell ref="A1:A2"/>
    <mergeCell ref="B1:B2"/>
    <mergeCell ref="C1:C2"/>
    <mergeCell ref="D1:D2"/>
    <mergeCell ref="E1:E2"/>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SubtitleContentTmpl-72724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susan zhou</cp:lastModifiedBy>
  <dcterms:created xsi:type="dcterms:W3CDTF">2026-03-17T09:34:58Z</dcterms:created>
  <dcterms:modified xsi:type="dcterms:W3CDTF">2026-05-09T13:11:15Z</dcterms:modified>
</cp:coreProperties>
</file>