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turtle/课内相关/京师人/学业/各种项目/2026上半年陶瓷/ChenGaowei/4.14编码任务/"/>
    </mc:Choice>
  </mc:AlternateContent>
  <xr:revisionPtr revIDLastSave="0" documentId="13_ncr:1_{6498EEF4-36B4-4D4B-90FF-32B6CE717A25}" xr6:coauthVersionLast="47" xr6:coauthVersionMax="47" xr10:uidLastSave="{00000000-0000-0000-0000-000000000000}"/>
  <bookViews>
    <workbookView xWindow="-51200" yWindow="-2460" windowWidth="51200" windowHeight="2880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 l="1"/>
  <c r="G73" i="1"/>
  <c r="H73" i="1"/>
  <c r="I73" i="1"/>
  <c r="J73" i="1"/>
  <c r="K73" i="1"/>
  <c r="L73" i="1"/>
  <c r="M73" i="1"/>
  <c r="E78" i="1"/>
  <c r="E77"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3" i="1"/>
  <c r="E74" i="1" l="1"/>
  <c r="E73" i="1"/>
  <c r="E75" i="1" l="1"/>
</calcChain>
</file>

<file path=xl/sharedStrings.xml><?xml version="1.0" encoding="utf-8"?>
<sst xmlns="http://schemas.openxmlformats.org/spreadsheetml/2006/main" count="296" uniqueCount="228">
  <si>
    <t>1</t>
  </si>
  <si>
    <t>teacher</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</si>
  <si>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</si>
  <si>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</si>
  <si>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</si>
  <si>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</si>
  <si>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</si>
  <si>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</si>
  <si>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</si>
  <si>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</si>
  <si>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</si>
  <si>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</si>
  <si>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</si>
  <si>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</si>
  <si>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</si>
  <si>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</si>
  <si>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</si>
  <si>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</si>
  <si>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</si>
  <si>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</si>
  <si>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</si>
  <si>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</si>
  <si>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</si>
  <si>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</si>
  <si>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</si>
  <si>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</si>
  <si>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</si>
  <si>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</si>
  <si>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(inaudible)</t>
  </si>
  <si>
    <t>28:08-28:09</t>
  </si>
  <si>
    <t>All students</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</si>
  <si>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</si>
  <si>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</si>
  <si>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</si>
  <si>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</si>
  <si>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</si>
  <si>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</si>
  <si>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</si>
  <si>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</si>
  <si>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</si>
  <si>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</si>
  <si>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</si>
  <si>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</si>
  <si>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</si>
  <si>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</si>
  <si>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</si>
  <si>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</si>
  <si>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</si>
  <si>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</si>
  <si>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</si>
  <si>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</si>
  <si>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</si>
  <si>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</si>
  <si>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</si>
  <si>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</si>
  <si>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</si>
  <si>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</si>
  <si>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</si>
  <si>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</si>
  <si>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</si>
  <si>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</si>
  <si>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</si>
  <si>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</si>
  <si>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</si>
  <si>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</si>
  <si>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 xml:space="preserve"> Okay, so today we are going to learn something about future tense. First of all, could you tell me what exactly is future tense? </t>
  </si>
  <si>
    <t xml:space="preserve">It's from the future. </t>
  </si>
  <si>
    <t>Parco</t>
  </si>
  <si>
    <t>Student A</t>
  </si>
  <si>
    <t>Ethan</t>
  </si>
  <si>
    <t>00:11-00:13</t>
  </si>
  <si>
    <t>00:00-00:11</t>
  </si>
  <si>
    <t>00:13-01:06</t>
  </si>
  <si>
    <t>01:06-01:08</t>
  </si>
  <si>
    <t>01:08-03:03</t>
  </si>
  <si>
    <t>03:03-03:10</t>
  </si>
  <si>
    <t xml:space="preserve">Yes, great. So it's something like that. Ethan said that when we use will, that is something that is not confirmed. And when we use be going to, that is something that is confirmed. So, in a better, when we put it in more precisely,  You can see that when we use will, the decision is not planned. There is no plan for the decision. So you make that decision at the moment, right now. So you don't have any plans before. So for example, we have no milk. I will go to the shop now. So is this action plan or unplanned? Is it planned? No, right? So we use will here. However, when we use be going to, we decide before the moment of speaking, for example, I bought eggs and flour, I am going to bake a cake. So here, because the person already bought the ingredients, so she, this person has planned to bake a cake. So it's used, so be going to is used here. Also there is another way to distinguish the two, So the other way is for predictions. Do you know predictions in Chinese? No? Predictions mean 預計,預計 So when we use will, it's based on opinion or guessing. So the person is just guessing something. For example, I think our school will win the basketball match next year. So it's his personal opinion, it’s just guessing, is it objectively true? No, so it's just guessing when we are using will. As for be going to, it's based on present evidence. Do you know what evidence means? So there is proof. What is proof? Yes, right. Quinton is 證據. So you use be going to when there is proof, when there is evidence. For example, look at those dark  clouds, it's going to rain because when we see dark clouds it's likely to rain so there's evidence here and then we will use be going to so the major difference, differences between the two is that will is a plan and it's only guessing as for be going to its planed and It's based on evidence. Okay, so now that you have learned the differences, you can now look at your work sheet, your piece's work sheet. And I'll give you eight minutes to complete it. You can discuss with your partners too if you don't understand or if you have any questions. Or you can raise your hands to ask me. So one little reminder for you, you need to think if it is planning, something about planning. So whether it's planned or unplanned, you also need to think about predictions.  whether it is guessing or evidence-based.  So if you don't remember the two forms, it's either with a lot of people like to...  so  so  Oh  Okay.  Okay.  Okay, first of all, tell me. When we use will, is it planned or unplanned? </t>
  </si>
  <si>
    <t>Student B</t>
  </si>
  <si>
    <t>10:58-10:58</t>
  </si>
  <si>
    <t xml:space="preserve">Yes, unplanned, how about is it guessing or evidence </t>
  </si>
  <si>
    <t>10:58-11:06</t>
  </si>
  <si>
    <t>Student C</t>
  </si>
  <si>
    <t>11:06-11:08</t>
  </si>
  <si>
    <t>03:10-10:58</t>
  </si>
  <si>
    <t>11:08-11:30</t>
  </si>
  <si>
    <t>Student D</t>
  </si>
  <si>
    <t>11:30-11:34</t>
  </si>
  <si>
    <t xml:space="preserve">Hailey, Shanley, Gilbert. What's so fun? </t>
  </si>
  <si>
    <t>11:34-11:42</t>
  </si>
  <si>
    <t>Student E</t>
  </si>
  <si>
    <t>11:42-11:48</t>
  </si>
  <si>
    <t>11:48-12:58</t>
  </si>
  <si>
    <t>Student F</t>
  </si>
  <si>
    <t>12:58-12:59</t>
  </si>
  <si>
    <t>Yes</t>
  </si>
  <si>
    <t>Why</t>
  </si>
  <si>
    <t>12:59-13:00</t>
  </si>
  <si>
    <t>因為佢係未來</t>
  </si>
  <si>
    <t>13:00-13:04</t>
  </si>
  <si>
    <t>is it planned or unplanned?</t>
  </si>
  <si>
    <t>13:04-13:10</t>
  </si>
  <si>
    <t>Unplanned</t>
  </si>
  <si>
    <t>13:10-13:11</t>
  </si>
  <si>
    <t>Student G</t>
  </si>
  <si>
    <t>13:11-13:35</t>
  </si>
  <si>
    <t>No</t>
  </si>
  <si>
    <t>13:35-13:37</t>
  </si>
  <si>
    <t>Why not?</t>
  </si>
  <si>
    <t>13:37-13:37</t>
  </si>
  <si>
    <t>13:37-13:41</t>
  </si>
  <si>
    <t>is it planned or unplanned</t>
  </si>
  <si>
    <t>13:41-13:43</t>
  </si>
  <si>
    <t>planned</t>
  </si>
  <si>
    <t>13:43-13:43</t>
  </si>
  <si>
    <t>Planned, yea because already bought, already bought something, so of course is planned, okay so the answer will be?</t>
  </si>
  <si>
    <t>13:43-13:54</t>
  </si>
  <si>
    <t>Hailey</t>
  </si>
  <si>
    <t>13:54-13:56</t>
  </si>
  <si>
    <t>13:56-14:20</t>
  </si>
  <si>
    <t>14:20-14:21</t>
  </si>
  <si>
    <t xml:space="preserve">Yes, why? </t>
  </si>
  <si>
    <t>14:21-14:24</t>
  </si>
  <si>
    <t>Student H</t>
  </si>
  <si>
    <t>14:24-14:26</t>
  </si>
  <si>
    <t>14:26-15:08</t>
  </si>
  <si>
    <t>15:08-15:09</t>
  </si>
  <si>
    <t xml:space="preserve">No, so it is just unplanned or planned? </t>
  </si>
  <si>
    <t>15:09-15:15</t>
  </si>
  <si>
    <t>Student K</t>
  </si>
  <si>
    <t>Student J</t>
  </si>
  <si>
    <t>15:15-15:16</t>
  </si>
  <si>
    <t>15:16-16:06</t>
  </si>
  <si>
    <t xml:space="preserve">Okay, why not? </t>
  </si>
  <si>
    <t>16:06-16:07</t>
  </si>
  <si>
    <t>16:07-16:08</t>
  </si>
  <si>
    <t>16:08-16:11</t>
  </si>
  <si>
    <t>Yes, it's already planned. The keyword is planned. So we use she... Yes, it's going to visit.  And question 6, watch out, you walking too fast, you are going to fall over the bag bag, is it correct?</t>
  </si>
  <si>
    <t>16:11-16:37</t>
  </si>
  <si>
    <t>16:37-16:37</t>
  </si>
  <si>
    <t>Student L</t>
  </si>
  <si>
    <t>因為佢話係watch out, 所以佢應該識停低</t>
  </si>
  <si>
    <t>16:37-16:44</t>
  </si>
  <si>
    <t>16:44-17:26</t>
  </si>
  <si>
    <t>Student M</t>
  </si>
  <si>
    <t>17:26-17:26</t>
  </si>
  <si>
    <t>17:26-17:29</t>
  </si>
  <si>
    <t>17:29-17:32</t>
  </si>
  <si>
    <t>Yes, why?  Yes, the person promises right now so it's a planned situation, a planned. And lastly, I hope that you will have a great birthday party next week, is it right?</t>
  </si>
  <si>
    <t>17:32-17:46</t>
  </si>
  <si>
    <t>17:46-17:47</t>
  </si>
  <si>
    <t>Student N</t>
  </si>
  <si>
    <t>The wind is big</t>
  </si>
  <si>
    <t>17:47-25:20</t>
  </si>
  <si>
    <t>25:20-25:21</t>
  </si>
  <si>
    <t>25:21-26:40</t>
  </si>
  <si>
    <t xml:space="preserve"> Prediction. </t>
  </si>
  <si>
    <t>26:40-26:41</t>
  </si>
  <si>
    <t xml:space="preserve">Yes, prediction. So is it guessing or evidence? </t>
  </si>
  <si>
    <t>26:41-26:46</t>
  </si>
  <si>
    <t>26:46-26:47</t>
  </si>
  <si>
    <t>guessing</t>
  </si>
  <si>
    <t>I hope</t>
  </si>
  <si>
    <t xml:space="preserve">Yes, guessing. And what is the keyword? </t>
  </si>
  <si>
    <t>26:47-26:50</t>
  </si>
  <si>
    <t>Student P</t>
  </si>
  <si>
    <t>Student O</t>
  </si>
  <si>
    <t>26:50-26:51</t>
  </si>
  <si>
    <t>Plan</t>
  </si>
  <si>
    <t>26:51-28:08</t>
  </si>
  <si>
    <t xml:space="preserve">plan, yes. And is it unplanned or planned? </t>
  </si>
  <si>
    <t>28:09-28:10</t>
  </si>
  <si>
    <t>planned.</t>
  </si>
  <si>
    <t>28:10-28:11</t>
  </si>
  <si>
    <t> Planned. How do you know it's a plant? How do you know it's a plant?</t>
  </si>
  <si>
    <t>28:11-28:16</t>
  </si>
  <si>
    <t>decided</t>
  </si>
  <si>
    <t>28:16-28:17</t>
  </si>
  <si>
    <t>28:17-31:24</t>
  </si>
  <si>
    <t>planning</t>
  </si>
  <si>
    <t>31:24-31:25</t>
  </si>
  <si>
    <t>31:25-31:27</t>
  </si>
  <si>
    <t>Planned</t>
  </si>
  <si>
    <t xml:space="preserve">Yes, planning. Is it planned or unplanned? </t>
  </si>
  <si>
    <t>31:27-31:29</t>
  </si>
  <si>
    <t>We use be going to and when we see I, we use N. So where is the hint here? Where is the hint? It's already for the, already for something. So we use be going to and it's planned actions. Okay, let's look at the ranking. Oh, Jelly is here, the first one. The last one is Michael. Michael is in the,  Fifth place, oh, sixth place. Okay. When do we use the...  So these two options are both correct. Because you can use will when it's something that you guessed and planned situations or decisions of. But some people got planned decisions of. So definitely wrong on that one. Okay. Next one.  Okay, shelly the first.  Oh my god!  there are some people that goes wrong. Okay, so it's evidence or plan decisions. So, let's see who wins. Okay, podium, oh. On the podium is Kevin. First one up is Miona, and the winner today is Shelly.  Oh, wait, get back up. Okay, people. Of course, no. So, this is the end of today's session.</t>
  </si>
  <si>
    <t>31:29-34:19</t>
  </si>
  <si>
    <t>62</t>
  </si>
  <si>
    <t>63</t>
  </si>
  <si>
    <t>64</t>
  </si>
  <si>
    <t>65</t>
  </si>
  <si>
    <t>66</t>
  </si>
  <si>
    <t>67</t>
  </si>
  <si>
    <t>68</t>
  </si>
  <si>
    <t>69</t>
  </si>
  <si>
    <t>word</t>
    <phoneticPr fontId="4" type="noConversion"/>
  </si>
  <si>
    <t>APT moves</t>
    <phoneticPr fontId="4" type="noConversion"/>
  </si>
  <si>
    <t>Say more(T3)</t>
  </si>
  <si>
    <t>Revoice(T1)</t>
  </si>
  <si>
    <t>Press for reasoning(T2)</t>
  </si>
  <si>
    <t>Challenge(T4)</t>
  </si>
  <si>
    <t>Restate(1678976054)</t>
  </si>
  <si>
    <t>Agree/Disagree(1678976089)</t>
  </si>
  <si>
    <t>Add on(1678976097)</t>
  </si>
  <si>
    <t>Explain others(T5)</t>
  </si>
  <si>
    <t>Number</t>
    <phoneticPr fontId="4" type="noConversion"/>
  </si>
  <si>
    <t>Timestamp</t>
    <phoneticPr fontId="4" type="noConversion"/>
  </si>
  <si>
    <t>Speaker</t>
    <phoneticPr fontId="4" type="noConversion"/>
  </si>
  <si>
    <t>Utterance</t>
    <phoneticPr fontId="4" type="noConversion"/>
  </si>
  <si>
    <t>sum</t>
  </si>
  <si>
    <t>Teachers' total words</t>
  </si>
  <si>
    <t>Students' total words</t>
  </si>
  <si>
    <t>Total turns</t>
  </si>
  <si>
    <t>No. of teachers' turn</t>
  </si>
  <si>
    <t>No. of students' turn</t>
  </si>
  <si>
    <t>teacher</t>
    <phoneticPr fontId="2" type="noConversion"/>
  </si>
  <si>
    <t xml:space="preserve">Yeah, some things that happen in the future, so it hasn't happened yet. Good. So when we use future tense, we are describing actions that have not happened yet. And we can use will.  and be going to like what Parco has just said to this depending on the situation but the question is do you know when to decide which one to use? Do you know when to use where you are meant to use be going to? No, right? It's okay. So now I'm going to I'm going to show you two situations. At the first one, there are two people speaking and person A? what? </t>
    <phoneticPr fontId="2" type="noConversion"/>
  </si>
  <si>
    <t xml:space="preserve">No need  and person A said that, do you have any plans for today? And person B replied, I don’t know, maybe I will borrow books in the library later. “Will” is used in this situation. In our situation 2, there are also 2 people speaking and person A said that, do you have any plans for today? And person B replied yes, I'm going to borrow books in the library at 12 p.m. And situation two, Be going to is used. So can you think about what are the differences between the two and then tell your partners? You can discuss with your partners, the person next to you,  what are the differences between the two.  Okay, so have you come to a conclusion? Does anyone know what's the difference between the two?  Ethan, can you try? </t>
    <phoneticPr fontId="2" type="noConversion"/>
  </si>
  <si>
    <t>Yes, guessing, just guessing and unplanned. So be going to is planned and is not guessing, is based on evidences. Okay, I will invite some of you to answer on the board, okay wait do anyone want to try?</t>
    <phoneticPr fontId="2" type="noConversion"/>
  </si>
  <si>
    <t>Okay, who else wanna try? Cannon, try. Okay, all on that.  All tech tries to write it because you cannot write it both at the same time. OK, I need one more person. Fiona.  Okay, now let's check answers. Take out your green ball pen and see if you have got it right. So, the first question. Oh, I forgot my water bottle. I will go and get it now. Is it correct? </t>
    <phoneticPr fontId="2" type="noConversion"/>
  </si>
  <si>
    <t>Yes, unplanned, because the present, because at the moment, beside just now, so it is just unplanned, so we just use will here, so question 2, I already bought the tickets, we will watch the fields on saturday, is it right?</t>
    <phoneticPr fontId="2" type="noConversion"/>
  </si>
  <si>
    <r>
      <t xml:space="preserve">Yes, right hailey, </t>
    </r>
    <r>
      <rPr>
        <sz val="11"/>
        <color rgb="FF000000"/>
        <rFont val="Microsoft YaHei"/>
        <family val="2"/>
        <charset val="134"/>
      </rPr>
      <t>其他</t>
    </r>
    <r>
      <rPr>
        <sz val="11"/>
        <color rgb="FF000000"/>
        <rFont val="Arial"/>
        <family val="2"/>
      </rPr>
      <t xml:space="preserve">, how about the others? Yes, I'm going to watch. Question 3. I think that robot will do all our housework in the year of 2050. Is it correct? </t>
    </r>
    <phoneticPr fontId="2" type="noConversion"/>
  </si>
  <si>
    <t xml:space="preserve">Because he's just guessing here.  We use will, guess I got it. Okay, question four. The floor is breaking, don't worry, I will answer it, is it right? Why not? Okay, who thinks it's correct? Raise your hand. Who thinks it's not correct? How about you? Do you think it's correct?  Okay, you think it's correct. So, the phone is ringing. Did the person plan that? Did the person plan the phone ring? </t>
    <phoneticPr fontId="2" type="noConversion"/>
  </si>
  <si>
    <t xml:space="preserve">Yes, unplanned. So we use... Okay, what's the answer? What is the answer? I just said this is correct.  Correct, so what's the answer? Oh, wait. Yeah, it's right, it's right. It's unplanned. It's so confusing. Okay, it's unplanned. And then? Question five. My sister planned her holiday months ago.  She will visit Japan this summer. Is it correct? Is it correct? </t>
    <phoneticPr fontId="2" type="noConversion"/>
  </si>
  <si>
    <t xml:space="preserve">Okay, so it is correct, it is correct, wait, I think I can accept both here. It can also be guessing, also be evidence, I think i can accept both, So I'm going to fall and I will fall. Both okay. Both okay here. And then I promise I will not tell anyone your secret. Is it right? I promise I will not tell. </t>
    <phoneticPr fontId="2" type="noConversion"/>
  </si>
  <si>
    <t xml:space="preserve">Yes, because it is... Is it guessing or planned or evidence? Is it planned? No, this is guessing. it is the person's opinion here, guessing only. So take your answers and mark how many points you got. So... Who got full mark here? Okay, great. Who got seven out of eight? Good. How about six? Okay, good. So we're still getting used to it. And this is okay.  If you have already got a hang of what are the differences between the two usage of future tenses, we're going to have a test. So please don't throw it away. Don't throw it away because you are going to stick it in your notebook. Stick it on your notebook. And in the meantime,  I'm going to invite some of you to... Alright, you can do it at home. So, we're going to invite the person sitting on the front to come out and grab the iPad scissors for your roles. Okay, so Calvin Parko, Hyuna, Hailey, and Jo, Jo, Ken, yes.  Oh!  Okay, so when you've got your iPad, just turn it on and search Kahoot. Kahoot. Search Kahoot. What's so funny?  Okay, so when you get your iPad you can either scan the QR code or search for kahoot and enter the code  Also, another system will ask you to type your name. So please type your English name. Scam again.  Remember to type your English name. I don't want any nicknames. English names.  There are,  There should be 19 of you. Currently there are 16 people here, 16 only. I see three people missing.  Okay, students next to you, all leave. The student hasn't walked in yet. Ethan, are you having trouble? Okay, 18. Who is missing? No one. Okay, I will start now.  I will start the game now. So what you need to do is to choose the answer as fast as possible. And the most accurate answer with the fastest decision time will get the first prize. OK, so let's start now.  Only 4 people got it right? Great! Great! So, is this question, listen, the wind is getting very strong, a storm-like soon. So, is it prediction or something about the wind? prediction or claiming? </t>
    <phoneticPr fontId="2" type="noConversion"/>
  </si>
  <si>
    <t>Yes, the wind is getting very strong, so this is the evidence, we need to use “be going to”, so here  is going to start his try. So let's see who got the first. Okay so Larry is currently number one and then Shelley and then Calvin. Hugo. So the four of you got it right. So be careful next time. So next question.  Oh, okay, so all of the people in the audience are like impressive. So here, I hope that  One day, scientists flag a keyword for the common call. So is this about planning or prediction? Planning or prediction?</t>
    <phoneticPr fontId="2" type="noConversion"/>
  </si>
  <si>
    <t>Yes, I hope. So something personal. Some personal opinions from him. So I hope we use them here. This is the only acceptable answer.  Okay, let's see who got the podium. Okay, New Farah, then Carmen, Hugo, Shelley, and Yana Sophie, and then Parisa. Okay, next question. most of you got it right, most of you got it right, so the question here: why are your brother saving up money, Because he decided he'd like a new skateboard. So is it a planned action or a prediction?</t>
    <phoneticPr fontId="2" type="noConversion"/>
  </si>
  <si>
    <t xml:space="preserve"> He decided. Yes, he decided before. And he is already saving up his pocket money for some time. So of course, this is some planned action.  Okay, let's see the rock and roll the drums. Oh, Shirley! Rock and roll plays. And then Calvin, Yena, Hailey, and Dara. And then is the sixth. The new is the sixth. Okay, next question.  What is this? Okay, so here the question is, be careful the cup is very hot, you will break your hand. So is it planning or prediction? Planning or prediction?  Is this something about planning? Gipper, is this something about planning? No, is this something about prediction then? So, I think it's based on evidence. Evidence, where's the evidence? Where is the evidence here? No, that cup is very hot. This is the evidence.  The cup is very hot, so this is the evidence. Let's look at the ranking again. Oh, Shelley is universal, and then George O'Fianna, Hugo and Calvin is bad. Oh, Shelley got full right ancestry. That's the highest ancestry. Great. Some hot winning, eh?  Okay  I forgot to cry. Don't stop you. Okay. We shouldn't use our instead of i. So be careful. The question here, I already got the paint. I like my glitter orange this weekend. So tell me, is this something about planning or prediction?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</si>
</sst>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等线"/>
      <family val="2"/>
      <scheme val="minor"/>
    </font>
    <font>
      <sz val="11"/>
      <color rgb="FF000000"/>
      <name val="Arial"/>
      <family val="2"/>
    </font>
    <font>
      <sz val="8"/>
      <name val="等线"/>
      <family val="2"/>
      <scheme val="minor"/>
    </font>
    <font>
      <b/>
      <sz val="12"/>
      <color rgb="FF000000"/>
      <name val="Calibri"/>
      <family val="2"/>
    </font>
    <font>
      <sz val="9"/>
      <name val="等线"/>
      <family val="3"/>
      <charset val="134"/>
      <scheme val="minor"/>
    </font>
    <font>
      <b/>
      <sz val="12"/>
      <color theme="1"/>
      <name val="Calibri"/>
      <family val="2"/>
    </font>
    <font>
      <sz val="12"/>
      <color indexed="8"/>
      <name val="Helvetica"/>
      <family val="2"/>
    </font>
    <font>
      <sz val="11"/>
      <color indexed="8"/>
      <name val="Helvetica"/>
      <family val="2"/>
    </font>
    <font>
      <sz val="11"/>
      <color rgb="FF000000"/>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vertical="center"/>
    </xf>
    <xf numFmtId="20" fontId="0" fillId="0" borderId="0" xfId="0" applyNumberFormat="1"/>
    <xf numFmtId="0" fontId="3" fillId="0" borderId="0" xfId="0" applyFont="1" applyAlignment="1">
      <alignment horizontal="center" vertical="center"/>
    </xf>
    <xf numFmtId="0" fontId="5" fillId="0" borderId="0" xfId="0" applyFont="1" applyAlignment="1">
      <alignment horizontal="center"/>
    </xf>
    <xf numFmtId="0" fontId="5" fillId="0" borderId="0" xfId="0" applyFont="1"/>
    <xf numFmtId="0" fontId="6" fillId="0" borderId="0" xfId="0" applyFont="1"/>
    <xf numFmtId="0" fontId="7" fillId="0" borderId="0" xfId="0" applyFont="1"/>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8"/>
  <sheetViews>
    <sheetView tabSelected="1" zoomScale="184" zoomScaleNormal="204" workbookViewId="0">
      <pane ySplit="2" topLeftCell="A3" activePane="bottomLeft" state="frozen"/>
      <selection pane="bottomLeft" activeCell="E11" sqref="E11"/>
    </sheetView>
  </sheetViews>
  <sheetFormatPr baseColWidth="10" defaultColWidth="8.83203125" defaultRowHeight="15"/>
  <cols>
    <col min="2" max="2" width="12.1640625" customWidth="1"/>
    <col min="3" max="3" width="14.6640625" customWidth="1"/>
    <col min="4" max="4" width="21.6640625" customWidth="1"/>
  </cols>
  <sheetData>
    <row r="1" spans="1:13" ht="16">
      <c r="A1" s="4" t="s">
        <v>204</v>
      </c>
      <c r="B1" s="4" t="s">
        <v>205</v>
      </c>
      <c r="C1" s="4" t="s">
        <v>206</v>
      </c>
      <c r="D1" s="4" t="s">
        <v>207</v>
      </c>
      <c r="E1" s="4" t="s">
        <v>194</v>
      </c>
      <c r="F1" s="5" t="s">
        <v>195</v>
      </c>
      <c r="G1" s="5"/>
      <c r="H1" s="5"/>
      <c r="I1" s="5"/>
      <c r="J1" s="5"/>
      <c r="K1" s="5"/>
      <c r="L1" s="5"/>
      <c r="M1" s="5"/>
    </row>
    <row r="2" spans="1:13" ht="16">
      <c r="A2" s="4"/>
      <c r="B2" s="4"/>
      <c r="C2" s="4"/>
      <c r="D2" s="4"/>
      <c r="E2" s="4"/>
      <c r="F2" s="6" t="s">
        <v>196</v>
      </c>
      <c r="G2" s="6" t="s">
        <v>197</v>
      </c>
      <c r="H2" s="6" t="s">
        <v>198</v>
      </c>
      <c r="I2" s="6" t="s">
        <v>199</v>
      </c>
      <c r="J2" s="6" t="s">
        <v>200</v>
      </c>
      <c r="K2" s="6" t="s">
        <v>201</v>
      </c>
      <c r="L2" s="6" t="s">
        <v>202</v>
      </c>
      <c r="M2" s="6" t="s">
        <v>203</v>
      </c>
    </row>
    <row r="3" spans="1:13">
      <c r="A3" t="s">
        <v>0</v>
      </c>
      <c r="B3" t="s">
        <v>71</v>
      </c>
      <c r="C3" t="s">
        <v>1</v>
      </c>
      <c r="D3" s="1" t="s">
        <v>65</v>
      </c>
      <c r="E3">
        <f>LEN(D3)-LEN(SUBSTITUTE(D3," ",""))+1</f>
        <v>25</v>
      </c>
    </row>
    <row r="4" spans="1:13">
      <c r="A4" t="s">
        <v>2</v>
      </c>
      <c r="B4" t="s">
        <v>70</v>
      </c>
      <c r="C4" t="s">
        <v>67</v>
      </c>
      <c r="D4" s="1" t="s">
        <v>66</v>
      </c>
      <c r="E4">
        <f t="shared" ref="E4:E67" si="0">LEN(D4)-LEN(SUBSTITUTE(D4," ",""))+1</f>
        <v>5</v>
      </c>
    </row>
    <row r="5" spans="1:13">
      <c r="A5" t="s">
        <v>3</v>
      </c>
      <c r="B5" s="3" t="s">
        <v>72</v>
      </c>
      <c r="C5" t="s">
        <v>1</v>
      </c>
      <c r="D5" s="1" t="s">
        <v>215</v>
      </c>
      <c r="E5">
        <f t="shared" si="0"/>
        <v>109</v>
      </c>
    </row>
    <row r="6" spans="1:13">
      <c r="A6" t="s">
        <v>4</v>
      </c>
      <c r="B6" t="s">
        <v>73</v>
      </c>
      <c r="C6" t="s">
        <v>68</v>
      </c>
      <c r="D6" s="2" t="s">
        <v>28</v>
      </c>
      <c r="E6">
        <f t="shared" si="0"/>
        <v>1</v>
      </c>
    </row>
    <row r="7" spans="1:13">
      <c r="A7" t="s">
        <v>5</v>
      </c>
      <c r="B7" s="3" t="s">
        <v>74</v>
      </c>
      <c r="C7" t="s">
        <v>1</v>
      </c>
      <c r="D7" s="1" t="s">
        <v>216</v>
      </c>
      <c r="E7">
        <f t="shared" si="0"/>
        <v>139</v>
      </c>
    </row>
    <row r="8" spans="1:13">
      <c r="A8" t="s">
        <v>6</v>
      </c>
      <c r="B8" t="s">
        <v>75</v>
      </c>
      <c r="C8" t="s">
        <v>69</v>
      </c>
      <c r="D8" s="2" t="s">
        <v>28</v>
      </c>
      <c r="E8">
        <f t="shared" si="0"/>
        <v>1</v>
      </c>
    </row>
    <row r="9" spans="1:13">
      <c r="A9" t="s">
        <v>7</v>
      </c>
      <c r="B9" s="3" t="s">
        <v>83</v>
      </c>
      <c r="C9" t="s">
        <v>1</v>
      </c>
      <c r="D9" s="1" t="s">
        <v>76</v>
      </c>
      <c r="E9">
        <f t="shared" si="0"/>
        <v>484</v>
      </c>
    </row>
    <row r="10" spans="1:13">
      <c r="A10" t="s">
        <v>8</v>
      </c>
      <c r="B10" s="3" t="s">
        <v>78</v>
      </c>
      <c r="C10" t="s">
        <v>77</v>
      </c>
      <c r="D10" s="1" t="s">
        <v>28</v>
      </c>
      <c r="E10">
        <f t="shared" si="0"/>
        <v>1</v>
      </c>
    </row>
    <row r="11" spans="1:13">
      <c r="A11" t="s">
        <v>9</v>
      </c>
      <c r="B11" t="s">
        <v>80</v>
      </c>
      <c r="C11" t="s">
        <v>1</v>
      </c>
      <c r="D11" s="1" t="s">
        <v>79</v>
      </c>
      <c r="E11">
        <f t="shared" si="0"/>
        <v>10</v>
      </c>
      <c r="L11">
        <v>1</v>
      </c>
    </row>
    <row r="12" spans="1:13">
      <c r="A12" t="s">
        <v>10</v>
      </c>
      <c r="B12" t="s">
        <v>82</v>
      </c>
      <c r="C12" t="s">
        <v>81</v>
      </c>
      <c r="D12" s="1" t="s">
        <v>28</v>
      </c>
      <c r="E12">
        <f t="shared" si="0"/>
        <v>1</v>
      </c>
    </row>
    <row r="13" spans="1:13">
      <c r="A13" t="s">
        <v>11</v>
      </c>
      <c r="B13" t="s">
        <v>84</v>
      </c>
      <c r="C13" t="s">
        <v>1</v>
      </c>
      <c r="D13" s="2" t="s">
        <v>217</v>
      </c>
      <c r="E13">
        <f t="shared" si="0"/>
        <v>39</v>
      </c>
    </row>
    <row r="14" spans="1:13">
      <c r="A14" t="s">
        <v>12</v>
      </c>
      <c r="B14" t="s">
        <v>86</v>
      </c>
      <c r="C14" t="s">
        <v>85</v>
      </c>
      <c r="D14" s="1" t="s">
        <v>28</v>
      </c>
      <c r="E14">
        <f t="shared" si="0"/>
        <v>1</v>
      </c>
    </row>
    <row r="15" spans="1:13">
      <c r="A15" t="s">
        <v>13</v>
      </c>
      <c r="B15" t="s">
        <v>88</v>
      </c>
      <c r="C15" t="s">
        <v>1</v>
      </c>
      <c r="D15" s="1" t="s">
        <v>87</v>
      </c>
      <c r="E15">
        <f t="shared" si="0"/>
        <v>7</v>
      </c>
    </row>
    <row r="16" spans="1:13">
      <c r="A16" t="s">
        <v>14</v>
      </c>
      <c r="B16" t="s">
        <v>90</v>
      </c>
      <c r="C16" t="s">
        <v>89</v>
      </c>
      <c r="D16" s="1" t="s">
        <v>28</v>
      </c>
      <c r="E16">
        <f t="shared" si="0"/>
        <v>1</v>
      </c>
    </row>
    <row r="17" spans="1:8">
      <c r="A17" t="s">
        <v>15</v>
      </c>
      <c r="B17" t="s">
        <v>91</v>
      </c>
      <c r="C17" t="s">
        <v>1</v>
      </c>
      <c r="D17" s="2" t="s">
        <v>218</v>
      </c>
      <c r="E17">
        <f t="shared" si="0"/>
        <v>73</v>
      </c>
    </row>
    <row r="18" spans="1:8">
      <c r="A18" t="s">
        <v>16</v>
      </c>
      <c r="B18" t="s">
        <v>93</v>
      </c>
      <c r="C18" t="s">
        <v>92</v>
      </c>
      <c r="D18" s="1" t="s">
        <v>94</v>
      </c>
      <c r="E18">
        <f t="shared" si="0"/>
        <v>1</v>
      </c>
    </row>
    <row r="19" spans="1:8">
      <c r="A19" t="s">
        <v>17</v>
      </c>
      <c r="B19" t="s">
        <v>96</v>
      </c>
      <c r="C19" t="s">
        <v>1</v>
      </c>
      <c r="D19" s="2" t="s">
        <v>95</v>
      </c>
      <c r="E19">
        <f t="shared" si="0"/>
        <v>1</v>
      </c>
      <c r="H19">
        <v>1</v>
      </c>
    </row>
    <row r="20" spans="1:8">
      <c r="A20" t="s">
        <v>18</v>
      </c>
      <c r="B20" t="s">
        <v>98</v>
      </c>
      <c r="C20" t="s">
        <v>92</v>
      </c>
      <c r="D20" s="1" t="s">
        <v>97</v>
      </c>
      <c r="E20">
        <f t="shared" si="0"/>
        <v>1</v>
      </c>
    </row>
    <row r="21" spans="1:8">
      <c r="A21" t="s">
        <v>19</v>
      </c>
      <c r="B21" t="s">
        <v>100</v>
      </c>
      <c r="C21" t="s">
        <v>1</v>
      </c>
      <c r="D21" s="1" t="s">
        <v>99</v>
      </c>
      <c r="E21">
        <f t="shared" si="0"/>
        <v>5</v>
      </c>
      <c r="F21">
        <v>1</v>
      </c>
    </row>
    <row r="22" spans="1:8">
      <c r="A22" t="s">
        <v>20</v>
      </c>
      <c r="B22" t="s">
        <v>102</v>
      </c>
      <c r="C22" t="s">
        <v>103</v>
      </c>
      <c r="D22" s="1" t="s">
        <v>101</v>
      </c>
      <c r="E22">
        <f t="shared" si="0"/>
        <v>1</v>
      </c>
    </row>
    <row r="23" spans="1:8">
      <c r="A23" t="s">
        <v>21</v>
      </c>
      <c r="B23" t="s">
        <v>104</v>
      </c>
      <c r="C23" t="s">
        <v>1</v>
      </c>
      <c r="D23" s="1" t="s">
        <v>219</v>
      </c>
      <c r="E23">
        <f t="shared" si="0"/>
        <v>41</v>
      </c>
    </row>
    <row r="24" spans="1:8">
      <c r="A24" t="s">
        <v>22</v>
      </c>
      <c r="B24" t="s">
        <v>106</v>
      </c>
      <c r="C24" t="s">
        <v>30</v>
      </c>
      <c r="D24" s="1" t="s">
        <v>105</v>
      </c>
      <c r="E24">
        <f t="shared" si="0"/>
        <v>1</v>
      </c>
    </row>
    <row r="25" spans="1:8">
      <c r="A25" t="s">
        <v>23</v>
      </c>
      <c r="B25" t="s">
        <v>108</v>
      </c>
      <c r="C25" s="1" t="s">
        <v>1</v>
      </c>
      <c r="D25" s="1" t="s">
        <v>107</v>
      </c>
      <c r="E25">
        <f t="shared" si="0"/>
        <v>2</v>
      </c>
      <c r="H25">
        <v>1</v>
      </c>
    </row>
    <row r="26" spans="1:8">
      <c r="A26" t="s">
        <v>24</v>
      </c>
      <c r="B26" t="s">
        <v>109</v>
      </c>
      <c r="C26" t="s">
        <v>30</v>
      </c>
      <c r="D26" s="2" t="s">
        <v>28</v>
      </c>
      <c r="E26">
        <f t="shared" si="0"/>
        <v>1</v>
      </c>
    </row>
    <row r="27" spans="1:8">
      <c r="A27" t="s">
        <v>25</v>
      </c>
      <c r="B27" t="s">
        <v>111</v>
      </c>
      <c r="C27" s="1" t="s">
        <v>1</v>
      </c>
      <c r="D27" s="2" t="s">
        <v>110</v>
      </c>
      <c r="E27">
        <f t="shared" si="0"/>
        <v>5</v>
      </c>
      <c r="F27">
        <v>1</v>
      </c>
    </row>
    <row r="28" spans="1:8">
      <c r="A28" t="s">
        <v>26</v>
      </c>
      <c r="B28" t="s">
        <v>113</v>
      </c>
      <c r="C28" t="s">
        <v>30</v>
      </c>
      <c r="D28" s="1" t="s">
        <v>112</v>
      </c>
      <c r="E28">
        <f t="shared" si="0"/>
        <v>1</v>
      </c>
    </row>
    <row r="29" spans="1:8">
      <c r="A29" t="s">
        <v>27</v>
      </c>
      <c r="B29" t="s">
        <v>115</v>
      </c>
      <c r="C29" s="1" t="s">
        <v>1</v>
      </c>
      <c r="D29" s="1" t="s">
        <v>114</v>
      </c>
      <c r="E29">
        <f t="shared" si="0"/>
        <v>19</v>
      </c>
      <c r="F29">
        <v>1</v>
      </c>
    </row>
    <row r="30" spans="1:8">
      <c r="A30" t="s">
        <v>31</v>
      </c>
      <c r="B30" t="s">
        <v>117</v>
      </c>
      <c r="C30" t="s">
        <v>116</v>
      </c>
      <c r="D30" s="1" t="s">
        <v>28</v>
      </c>
      <c r="E30">
        <f t="shared" si="0"/>
        <v>1</v>
      </c>
    </row>
    <row r="31" spans="1:8" ht="17">
      <c r="A31" t="s">
        <v>32</v>
      </c>
      <c r="B31" t="s">
        <v>118</v>
      </c>
      <c r="C31" s="1" t="s">
        <v>1</v>
      </c>
      <c r="D31" s="1" t="s">
        <v>220</v>
      </c>
      <c r="E31">
        <f t="shared" si="0"/>
        <v>33</v>
      </c>
    </row>
    <row r="32" spans="1:8">
      <c r="A32" t="s">
        <v>33</v>
      </c>
      <c r="B32" t="s">
        <v>119</v>
      </c>
      <c r="C32" t="s">
        <v>30</v>
      </c>
      <c r="D32" s="1" t="s">
        <v>94</v>
      </c>
      <c r="E32">
        <f t="shared" si="0"/>
        <v>1</v>
      </c>
    </row>
    <row r="33" spans="1:8">
      <c r="A33" t="s">
        <v>34</v>
      </c>
      <c r="B33" t="s">
        <v>121</v>
      </c>
      <c r="C33" s="1" t="s">
        <v>1</v>
      </c>
      <c r="D33" s="1" t="s">
        <v>120</v>
      </c>
      <c r="E33">
        <f t="shared" si="0"/>
        <v>3</v>
      </c>
      <c r="H33">
        <v>1</v>
      </c>
    </row>
    <row r="34" spans="1:8">
      <c r="A34" t="s">
        <v>35</v>
      </c>
      <c r="B34" t="s">
        <v>123</v>
      </c>
      <c r="C34" t="s">
        <v>122</v>
      </c>
      <c r="D34" s="1" t="s">
        <v>28</v>
      </c>
      <c r="E34">
        <f t="shared" si="0"/>
        <v>1</v>
      </c>
    </row>
    <row r="35" spans="1:8">
      <c r="A35" t="s">
        <v>36</v>
      </c>
      <c r="B35" t="s">
        <v>124</v>
      </c>
      <c r="C35" s="1" t="s">
        <v>1</v>
      </c>
      <c r="D35" s="1" t="s">
        <v>221</v>
      </c>
      <c r="E35">
        <f t="shared" si="0"/>
        <v>74</v>
      </c>
    </row>
    <row r="36" spans="1:8">
      <c r="A36" t="s">
        <v>37</v>
      </c>
      <c r="B36" t="s">
        <v>125</v>
      </c>
      <c r="C36" t="s">
        <v>30</v>
      </c>
      <c r="D36" s="1" t="s">
        <v>105</v>
      </c>
      <c r="E36">
        <f t="shared" si="0"/>
        <v>1</v>
      </c>
    </row>
    <row r="37" spans="1:8">
      <c r="A37" t="s">
        <v>38</v>
      </c>
      <c r="B37" t="s">
        <v>127</v>
      </c>
      <c r="C37" s="1" t="s">
        <v>1</v>
      </c>
      <c r="D37" s="1" t="s">
        <v>126</v>
      </c>
      <c r="E37">
        <f t="shared" si="0"/>
        <v>9</v>
      </c>
      <c r="G37">
        <v>1</v>
      </c>
    </row>
    <row r="38" spans="1:8">
      <c r="A38" t="s">
        <v>39</v>
      </c>
      <c r="B38" t="s">
        <v>130</v>
      </c>
      <c r="C38" t="s">
        <v>129</v>
      </c>
      <c r="D38" s="1" t="s">
        <v>101</v>
      </c>
      <c r="E38">
        <f t="shared" si="0"/>
        <v>1</v>
      </c>
    </row>
    <row r="39" spans="1:8">
      <c r="A39" t="s">
        <v>40</v>
      </c>
      <c r="B39" t="s">
        <v>131</v>
      </c>
      <c r="C39" s="1" t="s">
        <v>1</v>
      </c>
      <c r="D39" s="1" t="s">
        <v>222</v>
      </c>
      <c r="E39">
        <f t="shared" si="0"/>
        <v>63</v>
      </c>
    </row>
    <row r="40" spans="1:8">
      <c r="A40" t="s">
        <v>41</v>
      </c>
      <c r="B40" t="s">
        <v>133</v>
      </c>
      <c r="C40" t="s">
        <v>128</v>
      </c>
      <c r="D40" s="1" t="s">
        <v>105</v>
      </c>
      <c r="E40">
        <f t="shared" si="0"/>
        <v>1</v>
      </c>
    </row>
    <row r="41" spans="1:8">
      <c r="A41" t="s">
        <v>42</v>
      </c>
      <c r="B41" t="s">
        <v>134</v>
      </c>
      <c r="C41" s="1" t="s">
        <v>1</v>
      </c>
      <c r="D41" s="1" t="s">
        <v>132</v>
      </c>
      <c r="E41">
        <f t="shared" si="0"/>
        <v>4</v>
      </c>
      <c r="H41">
        <v>1</v>
      </c>
    </row>
    <row r="42" spans="1:8">
      <c r="A42" t="s">
        <v>43</v>
      </c>
      <c r="B42" t="s">
        <v>135</v>
      </c>
      <c r="C42" t="s">
        <v>128</v>
      </c>
      <c r="D42" s="1" t="s">
        <v>28</v>
      </c>
      <c r="E42">
        <f t="shared" si="0"/>
        <v>1</v>
      </c>
    </row>
    <row r="43" spans="1:8">
      <c r="A43" t="s">
        <v>44</v>
      </c>
      <c r="B43" t="s">
        <v>137</v>
      </c>
      <c r="C43" s="1" t="s">
        <v>1</v>
      </c>
      <c r="D43" s="1" t="s">
        <v>136</v>
      </c>
      <c r="E43">
        <f t="shared" si="0"/>
        <v>38</v>
      </c>
    </row>
    <row r="44" spans="1:8">
      <c r="A44" t="s">
        <v>45</v>
      </c>
      <c r="B44" t="s">
        <v>138</v>
      </c>
      <c r="C44" t="s">
        <v>139</v>
      </c>
      <c r="D44" s="2" t="s">
        <v>105</v>
      </c>
      <c r="E44">
        <f t="shared" si="0"/>
        <v>1</v>
      </c>
    </row>
    <row r="45" spans="1:8">
      <c r="A45" t="s">
        <v>46</v>
      </c>
      <c r="B45" t="s">
        <v>138</v>
      </c>
      <c r="C45" s="1" t="s">
        <v>1</v>
      </c>
      <c r="D45" s="1" t="s">
        <v>107</v>
      </c>
      <c r="E45">
        <f t="shared" si="0"/>
        <v>2</v>
      </c>
      <c r="H45">
        <v>1</v>
      </c>
    </row>
    <row r="46" spans="1:8">
      <c r="A46" t="s">
        <v>47</v>
      </c>
      <c r="B46" t="s">
        <v>141</v>
      </c>
      <c r="C46" t="s">
        <v>139</v>
      </c>
      <c r="D46" s="1" t="s">
        <v>140</v>
      </c>
      <c r="E46">
        <f t="shared" si="0"/>
        <v>3</v>
      </c>
    </row>
    <row r="47" spans="1:8">
      <c r="A47" t="s">
        <v>48</v>
      </c>
      <c r="B47" t="s">
        <v>142</v>
      </c>
      <c r="C47" s="1" t="s">
        <v>1</v>
      </c>
      <c r="D47" s="1" t="s">
        <v>223</v>
      </c>
      <c r="E47">
        <f t="shared" si="0"/>
        <v>65</v>
      </c>
    </row>
    <row r="48" spans="1:8">
      <c r="A48" t="s">
        <v>49</v>
      </c>
      <c r="B48" t="s">
        <v>144</v>
      </c>
      <c r="C48" t="s">
        <v>143</v>
      </c>
      <c r="D48" s="1" t="s">
        <v>94</v>
      </c>
      <c r="E48">
        <f t="shared" si="0"/>
        <v>1</v>
      </c>
    </row>
    <row r="49" spans="1:8">
      <c r="A49" t="s">
        <v>50</v>
      </c>
      <c r="B49" t="s">
        <v>145</v>
      </c>
      <c r="C49" s="1" t="s">
        <v>1</v>
      </c>
      <c r="D49" s="1" t="s">
        <v>120</v>
      </c>
      <c r="E49">
        <f t="shared" si="0"/>
        <v>3</v>
      </c>
      <c r="H49">
        <v>1</v>
      </c>
    </row>
    <row r="50" spans="1:8">
      <c r="A50" t="s">
        <v>51</v>
      </c>
      <c r="B50" t="s">
        <v>146</v>
      </c>
      <c r="C50" t="s">
        <v>143</v>
      </c>
      <c r="D50" s="1" t="s">
        <v>28</v>
      </c>
      <c r="E50">
        <f t="shared" si="0"/>
        <v>1</v>
      </c>
    </row>
    <row r="51" spans="1:8">
      <c r="A51" t="s">
        <v>52</v>
      </c>
      <c r="B51" t="s">
        <v>148</v>
      </c>
      <c r="C51" s="1" t="s">
        <v>1</v>
      </c>
      <c r="D51" s="1" t="s">
        <v>147</v>
      </c>
      <c r="E51">
        <f t="shared" si="0"/>
        <v>32</v>
      </c>
      <c r="G51">
        <v>1</v>
      </c>
    </row>
    <row r="52" spans="1:8">
      <c r="A52" t="s">
        <v>53</v>
      </c>
      <c r="B52" t="s">
        <v>149</v>
      </c>
      <c r="C52" t="s">
        <v>139</v>
      </c>
      <c r="D52" s="1" t="s">
        <v>94</v>
      </c>
      <c r="E52">
        <f t="shared" si="0"/>
        <v>1</v>
      </c>
    </row>
    <row r="53" spans="1:8">
      <c r="A53" t="s">
        <v>54</v>
      </c>
      <c r="B53" t="s">
        <v>152</v>
      </c>
      <c r="C53" s="1" t="s">
        <v>1</v>
      </c>
      <c r="D53" s="1" t="s">
        <v>224</v>
      </c>
      <c r="E53">
        <f t="shared" si="0"/>
        <v>371</v>
      </c>
    </row>
    <row r="54" spans="1:8">
      <c r="A54" t="s">
        <v>55</v>
      </c>
      <c r="B54" t="s">
        <v>153</v>
      </c>
      <c r="C54" t="s">
        <v>150</v>
      </c>
      <c r="D54" s="1" t="s">
        <v>151</v>
      </c>
      <c r="E54">
        <f t="shared" si="0"/>
        <v>4</v>
      </c>
    </row>
    <row r="55" spans="1:8">
      <c r="A55" t="s">
        <v>56</v>
      </c>
      <c r="B55" t="s">
        <v>154</v>
      </c>
      <c r="C55" s="1" t="s">
        <v>1</v>
      </c>
      <c r="D55" s="1" t="s">
        <v>225</v>
      </c>
      <c r="E55">
        <f t="shared" si="0"/>
        <v>102</v>
      </c>
    </row>
    <row r="56" spans="1:8">
      <c r="A56" t="s">
        <v>57</v>
      </c>
      <c r="B56" t="s">
        <v>156</v>
      </c>
      <c r="C56" t="s">
        <v>30</v>
      </c>
      <c r="D56" s="1" t="s">
        <v>155</v>
      </c>
      <c r="E56">
        <f t="shared" si="0"/>
        <v>2</v>
      </c>
    </row>
    <row r="57" spans="1:8">
      <c r="A57" t="s">
        <v>58</v>
      </c>
      <c r="B57" t="s">
        <v>158</v>
      </c>
      <c r="C57" s="1" t="s">
        <v>1</v>
      </c>
      <c r="D57" s="1" t="s">
        <v>157</v>
      </c>
      <c r="E57">
        <f t="shared" si="0"/>
        <v>9</v>
      </c>
    </row>
    <row r="58" spans="1:8">
      <c r="A58" t="s">
        <v>59</v>
      </c>
      <c r="B58" t="s">
        <v>159</v>
      </c>
      <c r="C58" t="s">
        <v>30</v>
      </c>
      <c r="D58" s="1" t="s">
        <v>160</v>
      </c>
      <c r="E58">
        <f t="shared" si="0"/>
        <v>1</v>
      </c>
    </row>
    <row r="59" spans="1:8">
      <c r="A59" t="s">
        <v>60</v>
      </c>
      <c r="B59" t="s">
        <v>163</v>
      </c>
      <c r="C59" s="1" t="s">
        <v>1</v>
      </c>
      <c r="D59" s="1" t="s">
        <v>162</v>
      </c>
      <c r="E59">
        <f t="shared" si="0"/>
        <v>8</v>
      </c>
    </row>
    <row r="60" spans="1:8">
      <c r="A60" t="s">
        <v>61</v>
      </c>
      <c r="B60" t="s">
        <v>166</v>
      </c>
      <c r="C60" t="s">
        <v>165</v>
      </c>
      <c r="D60" s="1" t="s">
        <v>161</v>
      </c>
      <c r="E60">
        <f t="shared" si="0"/>
        <v>2</v>
      </c>
    </row>
    <row r="61" spans="1:8">
      <c r="A61" t="s">
        <v>62</v>
      </c>
      <c r="B61" t="s">
        <v>168</v>
      </c>
      <c r="C61" s="1" t="s">
        <v>1</v>
      </c>
      <c r="D61" s="1" t="s">
        <v>226</v>
      </c>
      <c r="E61">
        <f t="shared" si="0"/>
        <v>87</v>
      </c>
    </row>
    <row r="62" spans="1:8">
      <c r="A62" t="s">
        <v>63</v>
      </c>
      <c r="B62" t="s">
        <v>29</v>
      </c>
      <c r="C62" t="s">
        <v>164</v>
      </c>
      <c r="D62" s="1" t="s">
        <v>167</v>
      </c>
      <c r="E62">
        <f t="shared" si="0"/>
        <v>1</v>
      </c>
    </row>
    <row r="63" spans="1:8">
      <c r="A63" t="s">
        <v>64</v>
      </c>
      <c r="B63" t="s">
        <v>170</v>
      </c>
      <c r="C63" s="1" t="s">
        <v>1</v>
      </c>
      <c r="D63" s="1" t="s">
        <v>169</v>
      </c>
      <c r="E63">
        <f t="shared" si="0"/>
        <v>9</v>
      </c>
    </row>
    <row r="64" spans="1:8">
      <c r="A64" t="s">
        <v>186</v>
      </c>
      <c r="B64" t="s">
        <v>172</v>
      </c>
      <c r="C64" t="s">
        <v>164</v>
      </c>
      <c r="D64" s="1" t="s">
        <v>171</v>
      </c>
      <c r="E64">
        <f t="shared" si="0"/>
        <v>1</v>
      </c>
    </row>
    <row r="65" spans="1:13">
      <c r="A65" t="s">
        <v>187</v>
      </c>
      <c r="B65" t="s">
        <v>174</v>
      </c>
      <c r="C65" s="1" t="s">
        <v>1</v>
      </c>
      <c r="D65" s="1" t="s">
        <v>173</v>
      </c>
      <c r="E65">
        <f t="shared" si="0"/>
        <v>15</v>
      </c>
    </row>
    <row r="66" spans="1:13">
      <c r="A66" t="s">
        <v>188</v>
      </c>
      <c r="B66" t="s">
        <v>176</v>
      </c>
      <c r="C66" t="s">
        <v>164</v>
      </c>
      <c r="D66" s="1" t="s">
        <v>175</v>
      </c>
      <c r="E66">
        <f t="shared" si="0"/>
        <v>1</v>
      </c>
      <c r="H66">
        <v>1</v>
      </c>
    </row>
    <row r="67" spans="1:13">
      <c r="A67" t="s">
        <v>189</v>
      </c>
      <c r="B67" t="s">
        <v>177</v>
      </c>
      <c r="C67" s="1" t="s">
        <v>214</v>
      </c>
      <c r="D67" s="1" t="s">
        <v>227</v>
      </c>
      <c r="E67">
        <f t="shared" si="0"/>
        <v>224</v>
      </c>
    </row>
    <row r="68" spans="1:13">
      <c r="A68" t="s">
        <v>190</v>
      </c>
      <c r="B68" t="s">
        <v>179</v>
      </c>
      <c r="C68" t="s">
        <v>30</v>
      </c>
      <c r="D68" s="1" t="s">
        <v>178</v>
      </c>
      <c r="E68">
        <f t="shared" ref="E68:E71" si="1">LEN(D68)-LEN(SUBSTITUTE(D68," ",""))+1</f>
        <v>1</v>
      </c>
    </row>
    <row r="69" spans="1:13">
      <c r="A69" t="s">
        <v>191</v>
      </c>
      <c r="B69" t="s">
        <v>180</v>
      </c>
      <c r="C69" s="1" t="s">
        <v>1</v>
      </c>
      <c r="D69" s="1" t="s">
        <v>182</v>
      </c>
      <c r="E69">
        <f t="shared" si="1"/>
        <v>8</v>
      </c>
    </row>
    <row r="70" spans="1:13">
      <c r="A70" t="s">
        <v>192</v>
      </c>
      <c r="B70" t="s">
        <v>183</v>
      </c>
      <c r="C70" t="s">
        <v>30</v>
      </c>
      <c r="D70" s="1" t="s">
        <v>181</v>
      </c>
      <c r="E70">
        <f t="shared" si="1"/>
        <v>1</v>
      </c>
    </row>
    <row r="71" spans="1:13">
      <c r="A71" t="s">
        <v>193</v>
      </c>
      <c r="B71" t="s">
        <v>185</v>
      </c>
      <c r="C71" s="1" t="s">
        <v>1</v>
      </c>
      <c r="D71" s="2" t="s">
        <v>184</v>
      </c>
      <c r="E71">
        <f t="shared" si="1"/>
        <v>176</v>
      </c>
    </row>
    <row r="73" spans="1:13" ht="16">
      <c r="D73" s="7" t="s">
        <v>208</v>
      </c>
      <c r="E73" s="9">
        <f>SUM(E3:E71)</f>
        <v>2339</v>
      </c>
      <c r="F73" s="9">
        <f t="shared" ref="F73:M73" si="2">SUM(F3:F71)</f>
        <v>3</v>
      </c>
      <c r="G73" s="9">
        <f t="shared" si="2"/>
        <v>2</v>
      </c>
      <c r="H73" s="9">
        <f t="shared" si="2"/>
        <v>7</v>
      </c>
      <c r="I73" s="9">
        <f t="shared" si="2"/>
        <v>0</v>
      </c>
      <c r="J73" s="9">
        <f t="shared" si="2"/>
        <v>0</v>
      </c>
      <c r="K73" s="9">
        <f t="shared" si="2"/>
        <v>0</v>
      </c>
      <c r="L73" s="9">
        <f t="shared" si="2"/>
        <v>1</v>
      </c>
      <c r="M73" s="9">
        <f t="shared" si="2"/>
        <v>0</v>
      </c>
    </row>
    <row r="74" spans="1:13">
      <c r="D74" s="8" t="s">
        <v>209</v>
      </c>
      <c r="E74">
        <f>SUMIF(C3:C71, "teacher", E3:E71)</f>
        <v>2294</v>
      </c>
    </row>
    <row r="75" spans="1:13">
      <c r="D75" s="8" t="s">
        <v>210</v>
      </c>
      <c r="E75">
        <f>E73-E74</f>
        <v>45</v>
      </c>
    </row>
    <row r="76" spans="1:13">
      <c r="D76" s="8" t="s">
        <v>211</v>
      </c>
      <c r="E76">
        <v>69</v>
      </c>
    </row>
    <row r="77" spans="1:13">
      <c r="D77" s="8" t="s">
        <v>212</v>
      </c>
      <c r="E77">
        <f>COUNTIF(C3:C71, "teacher")</f>
        <v>35</v>
      </c>
    </row>
    <row r="78" spans="1:13">
      <c r="D78" s="8" t="s">
        <v>213</v>
      </c>
      <c r="E78">
        <f>E76-E77</f>
        <v>34</v>
      </c>
    </row>
  </sheetData>
  <mergeCells count="6">
    <mergeCell ref="F1:M1"/>
    <mergeCell ref="A1:A2"/>
    <mergeCell ref="B1:B2"/>
    <mergeCell ref="C1:C2"/>
    <mergeCell ref="D1:D2"/>
    <mergeCell ref="E1:E2"/>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susan zhou</cp:lastModifiedBy>
  <dcterms:created xsi:type="dcterms:W3CDTF">2026-03-17T09:34:58Z</dcterms:created>
  <dcterms:modified xsi:type="dcterms:W3CDTF">2026-04-25T03:39:10Z</dcterms:modified>
</cp:coreProperties>
</file>