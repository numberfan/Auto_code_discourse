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87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<sst xmlns="http://schemas.openxmlformats.org/spreadsheetml/2006/main" count="756" uniqueCount="538">
  <si>
    <t>Number</t>
  </si>
  <si>
    <t>Timestamp</t>
  </si>
  <si>
    <t>Speaker</t>
  </si>
  <si>
    <t>Utterance</t>
  </si>
  <si>
    <t>word</t>
  </si>
  <si>
    <t>APT moves</t>
  </si>
  <si>
    <t>Say more(T3)</t>
  </si>
  <si>
    <t>Revoice(T1)</t>
  </si>
  <si>
    <t>Press for reasoning(T2)</t>
  </si>
  <si>
    <t>Challenge(T4)</t>
  </si>
  <si>
    <t>Restate(1678976054)</t>
  </si>
  <si>
    <t>Agree/Disagree(1678976089)</t>
  </si>
  <si>
    <t>Add on(1678976097)</t>
  </si>
  <si>
    <t>Explain others(T5)</t>
  </si>
  <si>
    <t>00:00-00:43</t>
  </si>
  <si>
    <t>Teacher</t>
  </si>
  <si>
    <t>Okay, we are recording. So, as you all recall, about two weeks ago we did a reading over Shep Kip Mei. Jayden, please sit down. What do you recall about that reading? What was it about? Amanda, do you recall anything? The reading that we did of Shep Kip Mei two weeks ago. Anyone else want to help her out? Do you remember Ryan? No?</t>
  </si>
  <si>
    <t>00:45-00:53</t>
  </si>
  <si>
    <t>Ryan</t>
  </si>
  <si>
    <t>It is about something that was built after the squatter area was destroyed by fire.</t>
  </si>
  <si>
    <t>00:53 – 01:07</t>
  </si>
  <si>
    <t>Yeah, it is about something that was built after the squatter area was destroyed by fire. Umm. What do you think about that William? About the government rebuilding afterwards, what are your thoughts?</t>
  </si>
  <si>
    <t>01:07-01:09</t>
  </si>
  <si>
    <t>William</t>
  </si>
  <si>
    <t>It is pretty good, right?</t>
  </si>
  <si>
    <t> </t>
  </si>
  <si>
    <t>01:09-01:13</t>
  </si>
  <si>
    <t>Good. Does anyone agree with him? That was a good thing to rebuild but they could do better.</t>
  </si>
  <si>
    <t>01:13-01:15</t>
  </si>
  <si>
    <t>Student 1</t>
  </si>
  <si>
    <t>Yes.</t>
  </si>
  <si>
    <t>01:16-01:23</t>
  </si>
  <si>
    <t>Is anyone disagreeing with him, maybe the government shouldn’t have rebuilt and should have used the land for something else?</t>
  </si>
  <si>
    <t>01:34-01:38</t>
  </si>
  <si>
    <t>Student 2</t>
  </si>
  <si>
    <t>Yeah. (Inaudible)</t>
  </si>
  <si>
    <t>01:38-01:41</t>
  </si>
  <si>
    <t>So you said they are for now, because… Because what? Maybe they are too reliant on government to provide</t>
  </si>
  <si>
    <t>01:41-01:47</t>
  </si>
  <si>
    <t>(Inaudible)</t>
  </si>
  <si>
    <t>01:47-01:53</t>
  </si>
  <si>
    <t>Okay. So, it is a huge liability. So what should the government have done instead? What do you think?</t>
  </si>
  <si>
    <t>01:53-01:54</t>
  </si>
  <si>
    <t>What?</t>
  </si>
  <si>
    <t>01:54-01:56</t>
  </si>
  <si>
    <t>What should the government have done instead of rebuilding?</t>
  </si>
  <si>
    <t>01:57-02:08</t>
  </si>
  <si>
    <t>They should have rebuilt slopes. Umm. Slopes they could</t>
  </si>
  <si>
    <t>02:08-02:23</t>
  </si>
  <si>
    <t>Okay. So good point. Good point. Does anyone else have any thought over the fire that devastated the area of Shek Kip Mei and the rebuilding of the settlement there? Isabelle?</t>
  </si>
  <si>
    <t>02:23-02:44</t>
  </si>
  <si>
    <t>Isabelle</t>
  </si>
  <si>
    <t>02:44-02:56</t>
  </si>
  <si>
    <t>Does anyone else agree with her? Or disagree?</t>
  </si>
  <si>
    <t>02:56-03:00</t>
  </si>
  <si>
    <t>Student 3</t>
  </si>
  <si>
    <t>I think, I think she made a really good point.</t>
  </si>
  <si>
    <t>03:00-03:08</t>
  </si>
  <si>
    <t>So, let’s move on to the first place we visited. We visited Mei Ho House.</t>
  </si>
  <si>
    <t>03:08-03:11</t>
  </si>
  <si>
    <t>Jay</t>
  </si>
  <si>
    <t>Yes, it’s now a hospital.</t>
  </si>
  <si>
    <t>03:11-03:13</t>
  </si>
  <si>
    <t>It’s now a hospital. What else is it Jay?</t>
  </si>
  <si>
    <t>03:13-03:14</t>
  </si>
  <si>
    <t>It’s a museum.</t>
  </si>
  <si>
    <t>03:14-03:18</t>
  </si>
  <si>
    <t>Good Jay, it’s a museum. What kind of things do they show in the house?</t>
  </si>
  <si>
    <t>03:18-03:25</t>
  </si>
  <si>
    <t>Famous, umm… It’s recorded.</t>
  </si>
  <si>
    <t>03:26-03:29</t>
  </si>
  <si>
    <t>What kind of things do they show? Lynn, what kind of things do they show in the house?</t>
  </si>
  <si>
    <t>03:30-03:35</t>
  </si>
  <si>
    <t>Lynn</t>
  </si>
  <si>
    <t>03:35-03:42</t>
  </si>
  <si>
    <t>Yeah, so it shows how different homes look in the past, different shops look in the past, how things were put together. Yes, Jay?</t>
  </si>
  <si>
    <t>03:42-03:45</t>
  </si>
  <si>
    <t>It shows what the kids play when they were young.</t>
  </si>
  <si>
    <t>03:45-03:55</t>
  </si>
  <si>
    <t>It shows what the kids play when they were young, good. How is that different from what you play with now? How is it the same, how is it different from what you play with now?</t>
  </si>
  <si>
    <t>03:55-04:07</t>
  </si>
  <si>
    <t>04:07-04:14</t>
  </si>
  <si>
    <t>Okay.  How else did what you see in the museum compare to how you live now?</t>
  </si>
  <si>
    <t>04:14-04:16</t>
  </si>
  <si>
    <t>Student 4</t>
  </si>
  <si>
    <t>They didn't have an iPad.</t>
  </si>
  <si>
    <t>04:16-04:22</t>
  </si>
  <si>
    <t>They didn't have an iPad. That’s true. Andrew, what do you think?  How does what you saw in the museum compare to things now?</t>
  </si>
  <si>
    <t>04:22-04:24</t>
  </si>
  <si>
    <t>Andrew</t>
  </si>
  <si>
    <t>Not much.</t>
  </si>
  <si>
    <t>04:24-04:33</t>
  </si>
  <si>
    <t>The various exhibits you saw in the museum, say maybe one of the rooms, one of the houses.  How does that compare to, to now?</t>
  </si>
  <si>
    <t>04:33-04:35</t>
  </si>
  <si>
    <t>They’re old.</t>
  </si>
  <si>
    <t>04:35-04:38</t>
  </si>
  <si>
    <t>They’re old?  Well, remember, they're from 50, 60 years ago.</t>
  </si>
  <si>
    <t>04:38-04:41</t>
  </si>
  <si>
    <t>That’s the reason why.</t>
  </si>
  <si>
    <t>04:41-04:44</t>
  </si>
  <si>
    <t>That’s the reason why? They’re old</t>
  </si>
  <si>
    <t>04:45-04:46</t>
  </si>
  <si>
    <t>Well, the system.</t>
  </si>
  <si>
    <t>04:47-04:49</t>
  </si>
  <si>
    <t>The system?</t>
  </si>
  <si>
    <t>04:50-04:54</t>
  </si>
  <si>
    <t>Nowadays, we have better lighting.</t>
  </si>
  <si>
    <t>04:54-04:57</t>
  </si>
  <si>
    <t>Okay. What is better, what does better lighting? What difference does that make?</t>
  </si>
  <si>
    <t>04:57-05:03</t>
  </si>
  <si>
    <t>So the students can study better.  It is brighter.</t>
  </si>
  <si>
    <t>05:03-05:10</t>
  </si>
  <si>
    <t>It is brighter. They can study better. Do you remember where the students actually studied? Where was their school?</t>
  </si>
  <si>
    <t>05:10-05:11</t>
  </si>
  <si>
    <t>Student 5</t>
  </si>
  <si>
    <t>Rooftop.</t>
  </si>
  <si>
    <t>05:11-05:27</t>
  </si>
  <si>
    <r>
      <rPr>
        <sz val="12"/>
        <color indexed="8"/>
        <rFont val="Aptos Narrow"/>
        <charset val="134"/>
      </rPr>
      <t xml:space="preserve">Rooftop, good. </t>
    </r>
    <r>
      <rPr>
        <sz val="12"/>
        <color rgb="FF000000"/>
        <rFont val="Arial"/>
        <charset val="134"/>
      </rPr>
      <t> </t>
    </r>
    <r>
      <rPr>
        <sz val="12"/>
        <color indexed="8"/>
        <rFont val="Aptos Narrow"/>
        <charset val="134"/>
      </rPr>
      <t xml:space="preserve">Uh, it was in the rooftop. Was there a cover on the roof? No? No. It didn't matter what the weather, they would be on the roof. Let's go back to the housing really quick. </t>
    </r>
    <r>
      <rPr>
        <sz val="12"/>
        <color rgb="FF000000"/>
        <rFont val="Arial"/>
        <charset val="134"/>
      </rPr>
      <t> </t>
    </r>
    <r>
      <rPr>
        <sz val="12"/>
        <color indexed="8"/>
        <rFont val="Aptos Narrow"/>
        <charset val="134"/>
      </rPr>
      <t>So were the rooms say are bigger or smaller than what you're used to now?</t>
    </r>
  </si>
  <si>
    <t>05:27-05:29</t>
  </si>
  <si>
    <t>Smaller.</t>
  </si>
  <si>
    <t>05:29-05:30</t>
  </si>
  <si>
    <t>Smaller. How much smaller.</t>
  </si>
  <si>
    <t>05:30-05:31</t>
  </si>
  <si>
    <t>Very small.</t>
  </si>
  <si>
    <t>05:31-05:43</t>
  </si>
  <si>
    <t>Very small and Bobo, what do you think about that when you saw those small rooms, knowing that maybe four or five people lived in that small little space?</t>
  </si>
  <si>
    <t>05:43-05:45</t>
  </si>
  <si>
    <t>Bobo</t>
  </si>
  <si>
    <t>05:45-05:50</t>
  </si>
  <si>
    <t>Yeah? And how do you compare that to your own bedroom now?</t>
  </si>
  <si>
    <t>05:53-05:54</t>
  </si>
  <si>
    <t>It’s much better.</t>
  </si>
  <si>
    <t>05:54-05:57</t>
  </si>
  <si>
    <t>It’s much better now. Why is it better?</t>
  </si>
  <si>
    <t>05:57-06:00</t>
  </si>
  <si>
    <t>Because, more space.</t>
  </si>
  <si>
    <t>06:00-06:23</t>
  </si>
  <si>
    <t>Does anyone maybe disagree with her? Who thinks that it could have been better back then when you had less space? Anyone disagree?  So everyone agrees. Was there anything else in the exhibit there that caught your eye? Anything else that you saw that maybe stood out, that made you think about what things were like in the past?</t>
  </si>
  <si>
    <t>06:23-06:28</t>
  </si>
  <si>
    <t>Student 6</t>
  </si>
  <si>
    <t>There was a big wooden barrel of rice instead of uh, plastic packet.</t>
  </si>
  <si>
    <t>06:28-06:40</t>
  </si>
  <si>
    <t>Yeah, there's a big wooden barrel. We, Ryan, you mentioned water buckets. Um, what was key about the water buckets? Why did the tour guide point out the water buckets?</t>
  </si>
  <si>
    <t>06:40-06:42</t>
  </si>
  <si>
    <t>I guess they were full of water.</t>
  </si>
  <si>
    <t>06:42-06:47</t>
  </si>
  <si>
    <t>They were full of water.  But what, what did he have you do to them? What did he have you do with the buckets of water?</t>
  </si>
  <si>
    <t>06:47-06:50</t>
  </si>
  <si>
    <t>He wanted us to carry the buckets?</t>
  </si>
  <si>
    <t>06:50-06:52</t>
  </si>
  <si>
    <t>Why did he want you to carry the buckets?</t>
  </si>
  <si>
    <t>06:54-06:56</t>
  </si>
  <si>
    <t>So I could drink.</t>
  </si>
  <si>
    <t>06:56-07:01</t>
  </si>
  <si>
    <t>For those of you that did carry the buckets, were they light or were they heavy?</t>
  </si>
  <si>
    <t>07:01-07:02</t>
  </si>
  <si>
    <t>Heavy</t>
  </si>
  <si>
    <t>07:02-07:14</t>
  </si>
  <si>
    <t>Heavy. And why was he pointing out how heavy the water buckets were? Patricia, what do you think? Why was he pointing out how heavy the water buckets were?</t>
  </si>
  <si>
    <t>07:14-07:17</t>
  </si>
  <si>
    <t>Patricia</t>
  </si>
  <si>
    <t>Because he had nothing to do.</t>
  </si>
  <si>
    <t>07:17-07:20</t>
  </si>
  <si>
    <t>No, there was a specific reason.</t>
  </si>
  <si>
    <t>07:20-07:23</t>
  </si>
  <si>
    <t>To show how hard their life was.</t>
  </si>
  <si>
    <t>07:23-07:28</t>
  </si>
  <si>
    <t>And why would that make your life hard, just having heavy water buckets?</t>
  </si>
  <si>
    <t>07:28-07:31</t>
  </si>
  <si>
    <t>Because it is heavy.</t>
  </si>
  <si>
    <t>07:31-07:35</t>
  </si>
  <si>
    <t>Did they have water right there in their flats, in their homes?</t>
  </si>
  <si>
    <t>我认为这个有一些些争议，老师并没有直接让Patricia Say more，但是通过提供线索提示学生应该往某个方向思考，并且say more</t>
  </si>
  <si>
    <t>07:35-07:37</t>
  </si>
  <si>
    <t>Oh, they need to travel with the buckets.</t>
  </si>
  <si>
    <t>07:37-08:10</t>
  </si>
  <si>
    <t>That's right. They needed to travel with the buckets. The water wasn't there on site. They had to travel. Nowadays, if you need water, what do you do? You just go to your kitchen, go to your washroom, turn all the tap, and you have all the water you need.Was it like that back then? No, they had to travel to get their water. Um, the buckets were heavy, the water was heavy. So he wanted you to think about, about what, what did he want you to think about Ruby?</t>
  </si>
  <si>
    <t>08:11-08:13</t>
  </si>
  <si>
    <t>Ruby</t>
  </si>
  <si>
    <t>Um, about how hard they were.</t>
  </si>
  <si>
    <t>08:13-08:29</t>
  </si>
  <si>
    <t>Yeah. About how, how hard things were back then, about how difficult it was. You didn't just have instant water. You had to go walk and get water. Anything else that stood out about the, uh, about the museum? About some of the exhibits there? Yes.</t>
  </si>
  <si>
    <t>08:29-08:35</t>
  </si>
  <si>
    <t>The game. Like the sports game, the exercise.</t>
  </si>
  <si>
    <t>08:35-08:38</t>
  </si>
  <si>
    <t>And why did that stand out?</t>
  </si>
  <si>
    <t>08:38-08:38</t>
  </si>
  <si>
    <t>Because I lost to you.</t>
  </si>
  <si>
    <t>08:38-09:12</t>
  </si>
  <si>
    <r>
      <rPr>
        <sz val="12"/>
        <color indexed="8"/>
        <rFont val="Aptos Narrow"/>
        <charset val="134"/>
      </rPr>
      <t xml:space="preserve">That’s right. Why did you lose to me? Because I am faster than you. Now, it’s on record. It is being recorded. </t>
    </r>
    <r>
      <rPr>
        <sz val="12"/>
        <color rgb="FF000000"/>
        <rFont val="Arial"/>
        <charset val="134"/>
      </rPr>
      <t> </t>
    </r>
    <r>
      <rPr>
        <sz val="12"/>
        <color indexed="8"/>
        <rFont val="Aptos Narrow"/>
        <charset val="134"/>
      </rPr>
      <t>So afterwards, after we went to the museum, he, we didn't go to it, but we went to go see the old north, uh, cabin magistrate. What kind of building is that? What was it used for?</t>
    </r>
  </si>
  <si>
    <t>09:12-09:13</t>
  </si>
  <si>
    <t>Student 7</t>
  </si>
  <si>
    <t>I think court</t>
  </si>
  <si>
    <t>09:13-09:18</t>
  </si>
  <si>
    <t>Used for courts.  And, um, do you remember how many people they roughly saw there every day? He gave a number.</t>
  </si>
  <si>
    <t>09:18-09:20</t>
  </si>
  <si>
    <t>Student 8</t>
  </si>
  <si>
    <t>800.</t>
  </si>
  <si>
    <t>09:20-09:26</t>
  </si>
  <si>
    <t>Um, what were those people being seen for? What were the majority of the cases for?</t>
  </si>
  <si>
    <t>09:26-09:29</t>
  </si>
  <si>
    <t>Child abuse.</t>
  </si>
  <si>
    <t>09:29-09:36</t>
  </si>
  <si>
    <t>Not quite child abuse. Anything else? William do you remember? No?</t>
  </si>
  <si>
    <t>09:36-09:39</t>
  </si>
  <si>
    <t>No, why can't I remember?</t>
  </si>
  <si>
    <t>09:39-10:21</t>
  </si>
  <si>
    <t>So, a couple of family problems, couple divorces but no he also indicated that a lot of the cases were for jaywalking. Just walking across the street, just cutting people off. That’s how they were able to see so many people in single day because there were lots of minor things that would give people tickets for and have them appear in court. But you're right there is also a lot of family issues, family courts. How does that, how does that make you feel, do we still have various family issues today? Yes? And what can we do to resolve these issues? Daniel?</t>
  </si>
  <si>
    <t>10:21-10:23</t>
  </si>
  <si>
    <t>Daniel</t>
  </si>
  <si>
    <t>Family planning.</t>
  </si>
  <si>
    <t>10:23-10:26</t>
  </si>
  <si>
    <t>Okay, what do you mean by family planning?</t>
  </si>
  <si>
    <t>10:26-10:38</t>
  </si>
  <si>
    <t>It's like a lot of fun people might think they understand the issues that they have and, um, the system of how to build a family.</t>
  </si>
  <si>
    <t>10:38-10:40</t>
  </si>
  <si>
    <t>Good good.</t>
  </si>
  <si>
    <t>10:40-10:43</t>
  </si>
  <si>
    <t>Ethan</t>
  </si>
  <si>
    <t>That is not family planning.</t>
  </si>
  <si>
    <t>10:43-10:51</t>
  </si>
  <si>
    <t>That's why I asked about it. Family planning encompasses a lot of different things and how would you rephrase that Ethan, what do you think family planning means?</t>
  </si>
  <si>
    <t>10:51-11:00</t>
  </si>
  <si>
    <t>Family planning is like planning how many children you want to have. The thing you talked about was ,uh, marriage counselling.</t>
  </si>
  <si>
    <t>11:00-11:10</t>
  </si>
  <si>
    <t>But that’s still planning. That’s still planning all the responsibilities. It’s not just one thing, it encompasses many different things. Would you agree Ethan?</t>
  </si>
  <si>
    <t>11:00-11:03</t>
  </si>
  <si>
    <t>I would, yeah.</t>
  </si>
  <si>
    <t>11:03-11:30</t>
  </si>
  <si>
    <t>You would agree with me that's fine. I don't know if we mentioned this but the building isn't being used now. So the government's no longer using the building, what do you think should happen to it? Any thoughts?</t>
  </si>
  <si>
    <t>11:30-11:32</t>
  </si>
  <si>
    <t>Student 9</t>
  </si>
  <si>
    <t>Should be demolished.</t>
  </si>
  <si>
    <t>1132:-11:38</t>
  </si>
  <si>
    <t>You think it should be demolished, you said that. Why should it be demolished?</t>
  </si>
  <si>
    <t>11:38-11:40</t>
  </si>
  <si>
    <t>Because no one uses it.</t>
  </si>
  <si>
    <t>11:40-11:42</t>
  </si>
  <si>
    <t>Jada what do you think should be done with the building?</t>
  </si>
  <si>
    <t>11:42-11:51</t>
  </si>
  <si>
    <t>Jada</t>
  </si>
  <si>
    <t>Check it out, and try to build new places. So, there is eventual use.</t>
  </si>
  <si>
    <t>11:51-12:00</t>
  </si>
  <si>
    <t>Okay, so when you say replace it with more residential buildings do you mean demolish it and build something new or maybe convert the building into residential?</t>
  </si>
  <si>
    <t>12:00-12:02</t>
  </si>
  <si>
    <t>Demolish it.</t>
  </si>
  <si>
    <t>12:02-12:09</t>
  </si>
  <si>
    <t>Demolish it? Does anyone think they should do something besides demolishing it? Alyssa, what do you think should be done with the building?</t>
  </si>
  <si>
    <t>12:09-12:16</t>
  </si>
  <si>
    <t>Alyssa</t>
  </si>
  <si>
    <t>They should like refurbish it in order to make it better.</t>
  </si>
  <si>
    <t>12:16-12:22</t>
  </si>
  <si>
    <t>Make it better. So, if they were to refurbish would you want them to still use it as a court or something else?</t>
  </si>
  <si>
    <t>12:22-12:27</t>
  </si>
  <si>
    <t>Yeah, as a court.</t>
  </si>
  <si>
    <t>12:27-12:35</t>
  </si>
  <si>
    <t>Court. So if they refurbished the building and if they didn't use it as a court, what else could they use it for?</t>
  </si>
  <si>
    <t>12:35-12:36</t>
  </si>
  <si>
    <t>Supermarket.</t>
  </si>
  <si>
    <t>12:36-12:42</t>
  </si>
  <si>
    <t>Supermarket? Do you think a supermarket is the best use for a historic building?</t>
  </si>
  <si>
    <t>12:42-12:43</t>
  </si>
  <si>
    <t>12:43-12:46</t>
  </si>
  <si>
    <t>Really? Why is that?</t>
  </si>
  <si>
    <t>12:46-12:48</t>
  </si>
  <si>
    <t>It’s useful.</t>
  </si>
  <si>
    <t>12:48-13:08</t>
  </si>
  <si>
    <t>Okay. So what you're trying to say is that the building needs to have some sort of use for the local community, right? Is that what you mean Patricia? What about a museum kind of like how the Mei Ho House was turned into a museum.</t>
  </si>
  <si>
    <r>
      <rPr>
        <sz val="12"/>
        <color rgb="FF000000"/>
        <rFont val="Microsoft YaHei"/>
        <charset val="134"/>
      </rPr>
      <t>与</t>
    </r>
    <r>
      <rPr>
        <sz val="12"/>
        <color indexed="8"/>
        <rFont val="Aptos Narrow"/>
        <charset val="134"/>
      </rPr>
      <t>patricia</t>
    </r>
    <r>
      <rPr>
        <sz val="12"/>
        <color rgb="FF000000"/>
        <rFont val="Microsoft YaHei"/>
        <charset val="134"/>
      </rPr>
      <t>确认，但是对方没有回答</t>
    </r>
  </si>
  <si>
    <t>13:08-13:11</t>
  </si>
  <si>
    <t>Student 10</t>
  </si>
  <si>
    <t>We have too many museums.</t>
  </si>
  <si>
    <t>13:11-13:16</t>
  </si>
  <si>
    <t>We have too many museums? Does Hong Kong have any other courthoses that are museums?</t>
  </si>
  <si>
    <t>13:16-13:17</t>
  </si>
  <si>
    <t>Yes, yes.</t>
  </si>
  <si>
    <t>13:17-13:18</t>
  </si>
  <si>
    <t>Really, where?</t>
  </si>
  <si>
    <t>13:18-13:24</t>
  </si>
  <si>
    <t>I don’t know which one it is.</t>
  </si>
  <si>
    <t>13:24-13:48</t>
  </si>
  <si>
    <t>Okay. Don’t need another museum. So, it seems that a majority of you think that the building will be better served to maybe be demolished and be replaced with something that's more beneficial for the community. Is that kind of what you're, what you're in agreement on? Okay. Lynn, do you think anything differently?</t>
  </si>
  <si>
    <t>13:48-14:07</t>
  </si>
  <si>
    <t>I think maybe turn it into a public entertainment area like playground or workshops. And make it something more beneficial. So the mental problems are also solved.</t>
  </si>
  <si>
    <t>14:07-14:20</t>
  </si>
  <si>
    <t>Okay, so um, a multi-purpose space. Alright, good. Where did we go after the magistrate, where did we go to see, walk by?</t>
  </si>
  <si>
    <t>14:20-14:21</t>
  </si>
  <si>
    <t>Student 11</t>
  </si>
  <si>
    <t>Snake</t>
  </si>
  <si>
    <t>14:21-14:22</t>
  </si>
  <si>
    <t>Uh, before that.</t>
  </si>
  <si>
    <t>14:22-14:23</t>
  </si>
  <si>
    <t>A mango shop.</t>
  </si>
  <si>
    <t>14:23-14:38</t>
  </si>
  <si>
    <t>Ohh, we saw the mango shop but that wasn't where we were going before the tour. We saw the pawn shop, what's the importance of the pawn shop?</t>
  </si>
  <si>
    <t>14:38-14:41</t>
  </si>
  <si>
    <t>It is supposed to bolster the economy.</t>
  </si>
  <si>
    <t>14:41-14:43</t>
  </si>
  <si>
    <t>And how does it bolster the economy?</t>
  </si>
  <si>
    <t>14:43-14:55</t>
  </si>
  <si>
    <t>People are investing or pawning their items and many people enjoy pawning.</t>
  </si>
  <si>
    <t>14:55-15:08</t>
  </si>
  <si>
    <t>Okay and do we still use a lot of pawn shops now? No, maybe? Why not? Do you know why we don't really use a lot of pawn shops anyone else know why?</t>
  </si>
  <si>
    <t>15:08-15:10</t>
  </si>
  <si>
    <t>We have banks           .</t>
  </si>
  <si>
    <t>15:10-15:13</t>
  </si>
  <si>
    <t>We have banks, and what do banks do for us?</t>
  </si>
  <si>
    <t>15:13-15:16</t>
  </si>
  <si>
    <t>They give us loans.</t>
  </si>
  <si>
    <t>15:16-15:49</t>
  </si>
  <si>
    <t>Loans. Do you agree with that Jessica? What do you agree with? No, what he's saying is that with a lot of the banks, now banks are able to give out personal loans. Previously with the pawn shop you would need to do, what, just ask for money, and they give it to you? No, items. Do you agree with that Ethan, that all you have to do is give items in the pawn shop and they give you money? What if you need more money?</t>
  </si>
  <si>
    <t>15:50-15:53</t>
  </si>
  <si>
    <t>Student 12</t>
  </si>
  <si>
    <t>Give more items.</t>
  </si>
  <si>
    <t>15:53-15:57</t>
  </si>
  <si>
    <t>What do you do if you cannot pay back the items?</t>
  </si>
  <si>
    <t>15:57-16:02</t>
  </si>
  <si>
    <t>The items are gone.</t>
  </si>
  <si>
    <t>16:02-16:24</t>
  </si>
  <si>
    <t>Pawn shop would sell your items try to refute what their loss is. Nowadays people don't have to do that, they can just go to a bank and request a loan. The bank can look at your credit history and decide whether or not to give you money. With it so easy to give money, to get money from the bank our pawn shops still needed now? Yes, why is that?</t>
  </si>
  <si>
    <t>16:24-16:35</t>
  </si>
  <si>
    <t>Um, because there is a process… (inaudible)</t>
  </si>
  <si>
    <t>16:35-16:45</t>
  </si>
  <si>
    <t>Uh, I heard some people say no, that pawn shops aren't needed. Uh, Jayden, do you think they're needed?</t>
  </si>
  <si>
    <t>16:43-16:45</t>
  </si>
  <si>
    <t>Jayden</t>
  </si>
  <si>
    <t>No.</t>
  </si>
  <si>
    <t>16:45-16:47</t>
  </si>
  <si>
    <t>No? Why not?</t>
  </si>
  <si>
    <t>16:47-16:50</t>
  </si>
  <si>
    <t>There is no one using them.</t>
  </si>
  <si>
    <t>16:50-16:56</t>
  </si>
  <si>
    <t>There's no one in them. Do you know anyone at all who may have used a pawn shop? No. So are you trying to say that they're old and antiquated?</t>
  </si>
  <si>
    <t>16:56-16:57</t>
  </si>
  <si>
    <t>Yes</t>
  </si>
  <si>
    <t>16:57-17:07</t>
  </si>
  <si>
    <t>Yes. Does anyone else agree with that? They're, uh, a leftover shop, a leftover part of Hong Kong that's no longer necessary. I agree. Do you agree with that, Clarence?</t>
  </si>
  <si>
    <t>17:07-17:08</t>
  </si>
  <si>
    <t>Clarence</t>
  </si>
  <si>
    <t>17:08-17:10</t>
  </si>
  <si>
    <t>What specifically do you agree with?</t>
  </si>
  <si>
    <t>17:10-17:24</t>
  </si>
  <si>
    <t>I like, I believe, like, not that you spoke about banks right now, it's more convenient. It's more clear like as. He clearly stated that how you should do stuff, but pawn shops have random price for you to buy the same thing,</t>
  </si>
  <si>
    <t>17:24-17:33</t>
  </si>
  <si>
    <r>
      <rPr>
        <sz val="12"/>
        <color indexed="8"/>
        <rFont val="Aptos Narrow"/>
        <charset val="134"/>
      </rPr>
      <t xml:space="preserve">Okay, so what you're saying is with banks maybe you have more security? </t>
    </r>
    <r>
      <rPr>
        <sz val="12"/>
        <color rgb="FF000000"/>
        <rFont val="Arial"/>
        <charset val="134"/>
      </rPr>
      <t> </t>
    </r>
    <r>
      <rPr>
        <sz val="12"/>
        <color indexed="8"/>
        <rFont val="Aptos Narrow"/>
        <charset val="134"/>
      </rPr>
      <t>Okay. And pawn shops, it'll be different depending on what shop you go to.</t>
    </r>
  </si>
  <si>
    <t>17:33-17:44</t>
  </si>
  <si>
    <t>Phillip</t>
  </si>
  <si>
    <t>I disagree because I think with  the current rate of inflation, your money is probably not worth the same thing.</t>
  </si>
  <si>
    <t>17:44-17:45</t>
  </si>
  <si>
    <t>That’s so cool.</t>
  </si>
  <si>
    <t>17:45-17:47</t>
  </si>
  <si>
    <t>You think that’s cool Ethan? Why do you think it’s cool?</t>
  </si>
  <si>
    <t>17:47-17:52</t>
  </si>
  <si>
    <t>He expressed amazing knowledge to the entire class.</t>
  </si>
  <si>
    <t>17:52-18:!3</t>
  </si>
  <si>
    <r>
      <rPr>
        <sz val="12"/>
        <color indexed="8"/>
        <rFont val="Aptos Narrow"/>
        <charset val="134"/>
      </rPr>
      <t xml:space="preserve">Okay, so as the guy pointed out, the pawn shop was an older establishment, an older kind of business that people don't really use anymore, they are </t>
    </r>
    <r>
      <rPr>
        <sz val="12"/>
        <color rgb="FF000000"/>
        <rFont val="Arial"/>
        <charset val="134"/>
      </rPr>
      <t> </t>
    </r>
    <r>
      <rPr>
        <sz val="12"/>
        <color indexed="8"/>
        <rFont val="Aptos Narrow"/>
        <charset val="134"/>
      </rPr>
      <t xml:space="preserve">gravitating towards banks. After the pawn shop, we went to go see the Kung Wo Beancurd Factory. </t>
    </r>
    <r>
      <rPr>
        <sz val="12"/>
        <color rgb="FF000000"/>
        <rFont val="Arial"/>
        <charset val="134"/>
      </rPr>
      <t> </t>
    </r>
    <r>
      <rPr>
        <sz val="12"/>
        <color indexed="8"/>
        <rFont val="Aptos Narrow"/>
        <charset val="134"/>
      </rPr>
      <t>What was unique about this place?</t>
    </r>
  </si>
  <si>
    <t>18:13-18:17</t>
  </si>
  <si>
    <t>Selena</t>
  </si>
  <si>
    <t>It was a shop</t>
  </si>
  <si>
    <t>18:17-18:24</t>
  </si>
  <si>
    <t>What kind of shop was it? Factory, behind it. There was a factory behind the shop. What did the shop do specifically?</t>
  </si>
  <si>
    <t>18:24-18:26</t>
  </si>
  <si>
    <t>Tofu.</t>
  </si>
  <si>
    <t>18:26-18:29</t>
  </si>
  <si>
    <t>Tofu. Why was this unique?</t>
  </si>
  <si>
    <t>18:29-18:36</t>
  </si>
  <si>
    <t>(inaudible)</t>
  </si>
  <si>
    <t>18:36-18:48</t>
  </si>
  <si>
    <t>Okay, so can you maybe add on that? Selena, you said there aren't many shops that have a factory behind it. What else makes it unique?</t>
  </si>
  <si>
    <t>18:48-18:49</t>
  </si>
  <si>
    <t>I don't know.</t>
  </si>
  <si>
    <t>18:49-18:53</t>
  </si>
  <si>
    <t>Was there anything in particular that you liked about the shop?</t>
  </si>
  <si>
    <t>18:53-18:56</t>
  </si>
  <si>
    <t>I like when Mr. Moon bought me some, uh, drinks.</t>
  </si>
  <si>
    <t>18:56-18:59</t>
  </si>
  <si>
    <t>I agree.</t>
  </si>
  <si>
    <t>18:59-19:08</t>
  </si>
  <si>
    <t>So something unique about the shop is that, is this a chain run store that's owned by a corporation or is it a small local business?</t>
  </si>
  <si>
    <t>19:08-19:11</t>
  </si>
  <si>
    <t>No, it's small. Small local business.</t>
  </si>
  <si>
    <t>19:11-19:21</t>
  </si>
  <si>
    <t>Is that a good thing or a bad thing? (inaudible)  You didn't control the quality. Uh, what else is good about the small local business?</t>
  </si>
  <si>
    <t>19:21-19:24</t>
  </si>
  <si>
    <t>There is, uh, there is more competition.</t>
  </si>
  <si>
    <t>19:24-19:26</t>
  </si>
  <si>
    <t>More competition. How so?</t>
  </si>
  <si>
    <t>19:26-19:51</t>
  </si>
  <si>
    <r>
      <rPr>
        <sz val="12"/>
        <color indexed="8"/>
        <rFont val="Aptos Narrow"/>
        <charset val="134"/>
      </rPr>
      <t xml:space="preserve">Uh, because everything is just, all the store has that, uh, that company can control whatever prices, uh, to sell for all of their products. </t>
    </r>
    <r>
      <rPr>
        <sz val="12"/>
        <color rgb="FF000000"/>
        <rFont val="Arial"/>
        <charset val="134"/>
      </rPr>
      <t> </t>
    </r>
    <r>
      <rPr>
        <sz val="12"/>
        <color indexed="8"/>
        <rFont val="Aptos Narrow"/>
        <charset val="134"/>
      </rPr>
      <t>These companies start and also keep things at a reasonable price.</t>
    </r>
  </si>
  <si>
    <t>19:51-20:03</t>
  </si>
  <si>
    <t>Good. Good. Does anyone else have anything to add on to that? Also, with a small local business, a lot of the money you spend in the shop doesn't go somewhere else. Where does it usually stay?</t>
  </si>
  <si>
    <t>20:04-20:08</t>
  </si>
  <si>
    <t>Stays with the business owners?</t>
  </si>
  <si>
    <t>20:08-20:12</t>
  </si>
  <si>
    <t>It stays with the business owners within the community. And then what do they do with that money?</t>
  </si>
  <si>
    <t>20:12-20:13</t>
  </si>
  <si>
    <t>They spend it in the community</t>
  </si>
  <si>
    <t>20:13-20:25</t>
  </si>
  <si>
    <t>They spend it in the community. Good job. How would say the beancurd store compared to a shop flight? Starbucks. What would you prefer?</t>
  </si>
  <si>
    <t>20:25-20.28</t>
  </si>
  <si>
    <t>Starbucks, because it has wifi.</t>
  </si>
  <si>
    <t>20:28-20:51</t>
  </si>
  <si>
    <r>
      <rPr>
        <sz val="12"/>
        <color indexed="8"/>
        <rFont val="Aptos Narrow"/>
        <charset val="134"/>
      </rPr>
      <t xml:space="preserve">You said wifi. How do you know the bean card shop didn't have wifi? Did you ask? </t>
    </r>
    <r>
      <rPr>
        <sz val="12"/>
        <color rgb="FF000000"/>
        <rFont val="Arial"/>
        <charset val="134"/>
      </rPr>
      <t> </t>
    </r>
    <r>
      <rPr>
        <sz val="12"/>
        <color indexed="8"/>
        <rFont val="Aptos Narrow"/>
        <charset val="134"/>
      </rPr>
      <t>so do you tend to enjoy, um, maybe modern or, um, corporate stores or the small, local, traditional stores? Which do you prefer, Bobo?</t>
    </r>
  </si>
  <si>
    <t>20:51-20:53</t>
  </si>
  <si>
    <t>The modern one.</t>
  </si>
  <si>
    <t>20:53-20:55</t>
  </si>
  <si>
    <t>The modern one. Why is that?</t>
  </si>
  <si>
    <t>20:58-21:01</t>
  </si>
  <si>
    <t>Because it’s less crowded.</t>
  </si>
  <si>
    <t>21:02-21:05</t>
  </si>
  <si>
    <t>Less crowded, why are they less crowded?</t>
  </si>
  <si>
    <t>21:05-21:07</t>
  </si>
  <si>
    <t>They’re bigger.</t>
  </si>
  <si>
    <t>21:07-21:24</t>
  </si>
  <si>
    <t>Um, does that make them better, bigger, better? Do you agree with that, Skyler, that the modern stores are bigger, less crowded, therefore they're better, or perhaps maybe the smaller local stores are better. What do you agree with?</t>
  </si>
  <si>
    <t>21:24-21:26</t>
  </si>
  <si>
    <t>Skyler</t>
  </si>
  <si>
    <t>I think smaller.</t>
  </si>
  <si>
    <t>21:26-21:29</t>
  </si>
  <si>
    <t>You think the smaller ones, and why is that?</t>
  </si>
  <si>
    <t>21:29-21:30</t>
  </si>
  <si>
    <t>Skylar</t>
  </si>
  <si>
    <t>I don’t know.</t>
  </si>
  <si>
    <t>21:41-22:05</t>
  </si>
  <si>
    <t>Okay. Um, many, many years ago most of the shops in Hong Kong used to be small, local shops like this. A lot of the economy of Hong Kong was built on finance and businesses through these small local shops. Now, as more and more of these local shops are being replaced, do you think Hong Kong is losing some of its character? Losing what makes it unique?</t>
  </si>
  <si>
    <t>22:05-22:06</t>
  </si>
  <si>
    <t>22:06-22:26</t>
  </si>
  <si>
    <t>Yes. Then. What should you do? Should you preserve these local shops? Bobo just said that the bigger, better modern corporate stores are are better. So if the small local shops give us our character, how do we rectify that in terms of which we support?</t>
  </si>
  <si>
    <t>22:26-22:27</t>
  </si>
  <si>
    <t>We donate money.</t>
  </si>
  <si>
    <t>22:27-22:32</t>
  </si>
  <si>
    <t>How do you donate money to a shop?</t>
  </si>
  <si>
    <t>22:32-22:35</t>
  </si>
  <si>
    <t>I buy things from them.</t>
  </si>
  <si>
    <t>22:35-22:51</t>
  </si>
  <si>
    <t>Good. You go and buy things, you support them. You go and spend money. If there's a shop you care about and you want it to stay local, you want it to exist, you need to go and support it. Uh, what other kinds of shops did we see along the tour?</t>
  </si>
  <si>
    <t>22:51-22:52</t>
  </si>
  <si>
    <t>Amanda</t>
  </si>
  <si>
    <t>Toy Street</t>
  </si>
  <si>
    <t>22:52-23:11</t>
  </si>
  <si>
    <r>
      <rPr>
        <sz val="12"/>
        <color indexed="8"/>
        <rFont val="Aptos Narrow"/>
        <charset val="134"/>
      </rPr>
      <t xml:space="preserve">What was toy street called? What was the name of the street? </t>
    </r>
    <r>
      <rPr>
        <sz val="12"/>
        <color rgb="FF000000"/>
        <rFont val="Arial"/>
        <charset val="134"/>
      </rPr>
      <t> </t>
    </r>
    <r>
      <rPr>
        <sz val="12"/>
        <color indexed="8"/>
        <rFont val="Aptos Narrow"/>
        <charset val="134"/>
      </rPr>
      <t>I don't think it was that specific street. I think it was, uh, what was it? Fuk Wing Street. Is that the name of the street? With the all the toys. What was special about that street?</t>
    </r>
  </si>
  <si>
    <t>23:11-23:14</t>
  </si>
  <si>
    <t>Many toys.</t>
  </si>
  <si>
    <t>23:14-23:16</t>
  </si>
  <si>
    <t>Many toys. And many, many, what?</t>
  </si>
  <si>
    <t>23:16-23:17</t>
  </si>
  <si>
    <t>Many cats.</t>
  </si>
  <si>
    <t>23:17-23:28</t>
  </si>
  <si>
    <t>Many cats, many shops. Were all those again, were they local shops or were they main brand, big mega shops.</t>
  </si>
  <si>
    <t>23:28-23:30</t>
  </si>
  <si>
    <t>Small local shops.</t>
  </si>
  <si>
    <t>23:30-23:37</t>
  </si>
  <si>
    <t>Do you enjoy shopping in those, Amanda, or do you enjoy the bigger, more modern stores?</t>
  </si>
  <si>
    <t>23:37-23:43</t>
  </si>
  <si>
    <t>I mean, I like shopping in the local markets.</t>
  </si>
  <si>
    <t>23:43-23:44</t>
  </si>
  <si>
    <t>Why is that?</t>
  </si>
  <si>
    <t>23:44-23:49</t>
  </si>
  <si>
    <t>Because they usually have, um, they’re cheaper.</t>
  </si>
  <si>
    <t>23:49-23:54</t>
  </si>
  <si>
    <r>
      <rPr>
        <sz val="12"/>
        <color indexed="8"/>
        <rFont val="Aptos Narrow"/>
        <charset val="134"/>
      </rPr>
      <t xml:space="preserve">Cheaper. </t>
    </r>
    <r>
      <rPr>
        <sz val="12"/>
        <color rgb="FF000000"/>
        <rFont val="Arial"/>
        <charset val="134"/>
      </rPr>
      <t> </t>
    </r>
    <r>
      <rPr>
        <sz val="12"/>
        <color indexed="8"/>
        <rFont val="Aptos Narrow"/>
        <charset val="134"/>
      </rPr>
      <t>What are you shopping in the shops on the side of the street or the market stall in the middle of the street?</t>
    </r>
  </si>
  <si>
    <t>23:54-23:55</t>
  </si>
  <si>
    <t>Both.</t>
  </si>
  <si>
    <t>23:55-24:01</t>
  </si>
  <si>
    <t>Both? Which of those do you prefer? The shops or the stalls?</t>
  </si>
  <si>
    <t>24:01-24:03</t>
  </si>
  <si>
    <t>Uh, stalls.</t>
  </si>
  <si>
    <t>24:03-24:08</t>
  </si>
  <si>
    <t>What about you, which do you prefer?</t>
  </si>
  <si>
    <t>24:08-24:09</t>
  </si>
  <si>
    <t>Shops.</t>
  </si>
  <si>
    <t>24:09-24:12</t>
  </si>
  <si>
    <t>Okay, so why do you like the shops and Amanda? Why do you like the stalls?</t>
  </si>
  <si>
    <t>话接上文</t>
  </si>
  <si>
    <t>24:12-24:17</t>
  </si>
  <si>
    <t>I like the stalls because we can bargain.</t>
  </si>
  <si>
    <t>24:17-24:20</t>
  </si>
  <si>
    <t>Okay, can you bargain in the shops then?</t>
  </si>
  <si>
    <t>24:20-24:26</t>
  </si>
  <si>
    <t>24:26-24:52</t>
  </si>
  <si>
    <t>Okay, so Toy Street was just one of many streets in the area. There were also streets that had fashion, clothing, merchandise. Also streets that, uh, had, um, machinery, drills, things like that. What do you think about these open markets when compared to a mall, which is better, Phillip? Which one do you think is better?</t>
  </si>
  <si>
    <t>24:52-24:54</t>
  </si>
  <si>
    <t>Between what?</t>
  </si>
  <si>
    <t>24:54-24:58</t>
  </si>
  <si>
    <t>Between the open market site we visited or a modern mall.</t>
  </si>
  <si>
    <t>24:59-25:11</t>
  </si>
  <si>
    <t>I think the markets, because in the modern mall, uh, like they said you can bargain price. But in the markets you probably get scammed</t>
  </si>
  <si>
    <t>25:13-25:36</t>
  </si>
  <si>
    <r>
      <rPr>
        <sz val="12"/>
        <color indexed="8"/>
        <rFont val="Aptos Narrow"/>
        <charset val="134"/>
      </rPr>
      <t xml:space="preserve">Why is that funny, saying that you might get scammed? </t>
    </r>
    <r>
      <rPr>
        <sz val="12"/>
        <color rgb="FF000000"/>
        <rFont val="Arial"/>
        <charset val="134"/>
      </rPr>
      <t> </t>
    </r>
    <r>
      <rPr>
        <sz val="12"/>
        <color indexed="8"/>
        <rFont val="Aptos Narrow"/>
        <charset val="134"/>
      </rPr>
      <t xml:space="preserve">It's true. It's negative, but it's true. </t>
    </r>
    <r>
      <rPr>
        <sz val="12"/>
        <color rgb="FF000000"/>
        <rFont val="Arial"/>
        <charset val="134"/>
      </rPr>
      <t> </t>
    </r>
    <r>
      <rPr>
        <sz val="12"/>
        <color indexed="8"/>
        <rFont val="Aptos Narrow"/>
        <charset val="134"/>
      </rPr>
      <t>So maybe you have more security in the bigger malls, but sometimes better deals at the market. There's just more risk involved. And what do you…</t>
    </r>
  </si>
  <si>
    <t>25:36-25:38</t>
  </si>
  <si>
    <t>High reward.</t>
  </si>
  <si>
    <t>25:38-25:55</t>
  </si>
  <si>
    <r>
      <rPr>
        <sz val="12"/>
        <color indexed="8"/>
        <rFont val="Aptos Narrow"/>
        <charset val="134"/>
      </rPr>
      <t xml:space="preserve">Yeah, high risk, high reward. So is at times risk worth it? Sometimes. All right, good. Um, before we move on, what was your favorite part of the tour? Um, let's see. </t>
    </r>
    <r>
      <rPr>
        <sz val="12"/>
        <color rgb="FF000000"/>
        <rFont val="Arial"/>
        <charset val="134"/>
      </rPr>
      <t> </t>
    </r>
    <r>
      <rPr>
        <sz val="12"/>
        <color indexed="8"/>
        <rFont val="Aptos Narrow"/>
        <charset val="134"/>
      </rPr>
      <t>Kayden, what was your favorite part of the tour? What did you enjoy the most?</t>
    </r>
  </si>
  <si>
    <t>25:55-26:01</t>
  </si>
  <si>
    <t>Kayden</t>
  </si>
  <si>
    <t>Uh, such a good question. A bit boring.</t>
  </si>
  <si>
    <t>26:01-26:06</t>
  </si>
  <si>
    <t>You thought it was a bit boring. What could have made it better? Why was it boring?</t>
  </si>
  <si>
    <t>26:06-26:08</t>
  </si>
  <si>
    <t>26:08-26:17</t>
  </si>
  <si>
    <t>You didn't know the stuff. So what could have made the tour better? What if I had revise?</t>
  </si>
  <si>
    <t>26:17-26:19</t>
  </si>
  <si>
    <t>If I had revised.</t>
  </si>
  <si>
    <t>26:19-26:23</t>
  </si>
  <si>
    <t>Student 13</t>
  </si>
  <si>
    <t>Ah, if he had done previous research on the places.</t>
  </si>
  <si>
    <t>26:24-26:30</t>
  </si>
  <si>
    <t>That’s okay. Jay, what did you like about the trip? What was your favorite part?</t>
  </si>
  <si>
    <t>26:30-26:38</t>
  </si>
  <si>
    <t>Um, when we left to go.</t>
  </si>
  <si>
    <t>26:38-26:40</t>
  </si>
  <si>
    <t>Why? Why was that?</t>
  </si>
  <si>
    <t>26:40-26:43</t>
  </si>
  <si>
    <t>Uh, because it was kind of boring.</t>
  </si>
  <si>
    <t>26:43-26:47</t>
  </si>
  <si>
    <t>So you found it boring. Okay. So what would you change to make it less boring?</t>
  </si>
  <si>
    <t>25:47-26:51</t>
  </si>
  <si>
    <t>I wouldn’t go there</t>
  </si>
  <si>
    <t>26:51-26:55</t>
  </si>
  <si>
    <t>So what would make it more interesting to you? That's why I'm asking. What would make it more interesting?</t>
  </si>
  <si>
    <t>26:55-26:57</t>
  </si>
  <si>
    <t>More interactive activities.</t>
  </si>
  <si>
    <t>26:17-27:17</t>
  </si>
  <si>
    <t>Okay. More interactive activities. Uh, does everyone think it was boring or were there some people who enjoyed it? Please. Yeah, but why did you look at that stuff? Why was it important to go and see this place?</t>
  </si>
  <si>
    <t>27:17-27:22</t>
  </si>
  <si>
    <t>It was not important. Historic value.</t>
  </si>
  <si>
    <t>27:22-27:29</t>
  </si>
  <si>
    <t>Historic value. Remember, what's the theme of this unit? What are we looking at? What were we, what were we studying in the past few weeks?</t>
  </si>
  <si>
    <t>27:29-27:32</t>
  </si>
  <si>
    <t>How to manage society.</t>
  </si>
  <si>
    <t>27:32-29:30</t>
  </si>
  <si>
    <t>Society, that's right. Impoverished society, how the other side lives. How can we help the other? So we went to a different part of Hong Kong to see the history, see the culture, see what it was like, see how it's different from how things are here.  And let's see. I don't think we have time to get to the reading, so we will go ahead and do that next time. Uh, remember tomorrow I'm not going to be here, so you'll have both periods.  You'll have both periods. To work on your travel brochure, remember for your travel brochure, you need to highlight at least one of the places we went to, one of the places we  discussed and talked about. In addition to your travel brochure, you're doing a presentation that you'll be giving on Thursday.  Um. The travel brochure needs to be done by the end of Wednesday, submitted to OneNote. A soft copy and one person in the group needs to print it out and bring it to class.  On Thursday. You can go to the washroom. You are going to be presenting, so you'll come up here. You'll present what you found interesting from the tour, what you learned, what you enjoy. You'll talk about it a little bit.  Thursday, you're presenting just in this class on Friday, you're presenting to the rest of the classes. So think of Thursday as practice  for you two refine and get your presentation down, and then Friday you'll be presenting to the rest of the classes, presentation for each other, like three, three to four, three to four minutes, okay?  Um, Wednesday, no class. You'll be doing Chinese history instead to make up for the missed class.</t>
  </si>
  <si>
    <t>sum</t>
  </si>
  <si>
    <t>Teachers' total words</t>
  </si>
  <si>
    <t>Students' total words</t>
  </si>
  <si>
    <t>Total turns</t>
  </si>
  <si>
    <t>No. of teachers' turn</t>
  </si>
  <si>
    <t>No. of students' turn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</si>
</sst>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2"/>
      <color indexed="8"/>
      <name val="Aptos Narrow"/>
      <charset val="134"/>
    </font>
    <font>
      <b/>
      <sz val="12"/>
      <color theme="1"/>
      <name val="Calibri"/>
      <charset val="134"/>
    </font>
    <font>
      <sz val="8"/>
      <color rgb="FF000000"/>
      <name val="Microsoft YaHei"/>
      <charset val="134"/>
    </font>
    <font>
      <sz val="12"/>
      <color indexed="8"/>
      <name val="Times New Roman"/>
      <charset val="134"/>
    </font>
    <font>
      <sz val="12"/>
      <color indexed="8"/>
      <name val="Aptos Narrow"/>
      <charset val="134"/>
    </font>
    <font>
      <sz val="12"/>
      <color rgb="FF000000"/>
      <name val="Microsoft YaHei"/>
      <charset val="134"/>
    </font>
    <font>
      <sz val="12"/>
      <color indexed="8"/>
      <name val="Helvetica"/>
      <charset val="134"/>
    </font>
    <font>
      <sz val="11"/>
      <color indexed="8"/>
      <name val="Helvetica"/>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2"/>
      <color rgb="FF000000"/>
      <name val="Arial"/>
      <charset val="134"/>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2" tint="0.799981688894314"/>
      </left>
      <right style="thin">
        <color theme="2" tint="0.799981688894314"/>
      </right>
      <top style="thin">
        <color theme="2" tint="0.799981688894314"/>
      </top>
      <bottom style="thin">
        <color theme="2" tint="0.79998168889431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6">
    <xf numFmtId="0" fontId="0" fillId="0" borderId="0" xfId="0"/>
    <xf numFmtId="0" fontId="0" fillId="0" borderId="1" xfId="0" applyNumberFormat="1" applyBorder="1"/>
    <xf numFmtId="0" fontId="0" fillId="0" borderId="1" xfId="0" applyNumberFormat="1" applyBorder="1"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0" fillId="2" borderId="1" xfId="0" applyNumberFormat="1" applyFill="1" applyBorder="1"/>
    <xf numFmtId="49" fontId="0" fillId="2" borderId="1" xfId="0" applyNumberFormat="1" applyFill="1" applyBorder="1" applyAlignment="1">
      <alignment vertical="center"/>
    </xf>
    <xf numFmtId="49" fontId="0" fillId="2" borderId="1" xfId="0" applyNumberFormat="1" applyFill="1" applyBorder="1" applyAlignment="1">
      <alignment vertical="center" wrapText="1"/>
    </xf>
    <xf numFmtId="49" fontId="0" fillId="2" borderId="1" xfId="0" applyNumberFormat="1" applyFill="1" applyBorder="1"/>
    <xf numFmtId="0" fontId="0" fillId="2" borderId="1" xfId="0" applyFill="1" applyBorder="1"/>
    <xf numFmtId="49" fontId="0" fillId="2" borderId="1" xfId="0" applyNumberFormat="1" applyFill="1" applyBorder="1" applyAlignment="1">
      <alignment vertical="top"/>
    </xf>
    <xf numFmtId="49" fontId="0" fillId="2" borderId="1" xfId="0" applyNumberFormat="1" applyFill="1" applyBorder="1" applyAlignment="1">
      <alignment vertical="top" wrapText="1"/>
    </xf>
    <xf numFmtId="0" fontId="0" fillId="2" borderId="1" xfId="0" applyFill="1" applyBorder="1" applyAlignment="1">
      <alignment vertical="top"/>
    </xf>
    <xf numFmtId="0" fontId="2" fillId="0" borderId="1" xfId="0" applyNumberFormat="1" applyFont="1" applyBorder="1" applyAlignment="1">
      <alignment wrapText="1"/>
    </xf>
    <xf numFmtId="49" fontId="3" fillId="2" borderId="1" xfId="0" applyNumberFormat="1" applyFont="1" applyFill="1" applyBorder="1" applyAlignment="1">
      <alignment vertical="top" wrapText="1"/>
    </xf>
    <xf numFmtId="0" fontId="0" fillId="0" borderId="1" xfId="0" applyFill="1" applyBorder="1"/>
    <xf numFmtId="0" fontId="4" fillId="0" borderId="1" xfId="0" applyNumberFormat="1" applyFont="1" applyBorder="1"/>
    <xf numFmtId="0" fontId="5" fillId="0" borderId="1" xfId="0" applyNumberFormat="1" applyFont="1" applyBorder="1"/>
    <xf numFmtId="0" fontId="6" fillId="0" borderId="0" xfId="0" applyFont="1" applyAlignment="1">
      <alignment wrapText="1"/>
    </xf>
    <xf numFmtId="49" fontId="7" fillId="0" borderId="0" xfId="0" applyNumberFormat="1" applyFont="1" applyAlignment="1">
      <alignment horizontal="right"/>
    </xf>
    <xf numFmtId="0" fontId="7" fillId="0" borderId="0" xfId="0" applyFont="1" applyAlignment="1">
      <alignment wrapText="1"/>
    </xf>
    <xf numFmtId="0" fontId="7" fillId="0" borderId="0" xfId="0" applyFont="1"/>
    <xf numFmtId="49" fontId="7" fillId="0" borderId="0" xfId="0" applyNumberFormat="1" applyFont="1"/>
    <xf numFmtId="0" fontId="3" fillId="2" borderId="1" xfId="0" applyFont="1" applyFill="1" applyBorder="1"/>
    <xf numFmtId="49" fontId="3" fillId="2" borderId="1" xfId="0" applyNumberFormat="1" applyFont="1" applyFill="1"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0"/>
  <sheetViews>
    <sheetView tabSelected="1" zoomScale="140" zoomScaleNormal="140" topLeftCell="B1" workbookViewId="0">
      <pane ySplit="2" topLeftCell="A327" activePane="bottomLeft" state="frozen"/>
      <selection/>
      <selection pane="bottomLeft" activeCell="D89" sqref="D89"/>
    </sheetView>
  </sheetViews>
  <sheetFormatPr defaultColWidth="8.83333333333333" defaultRowHeight="17.6"/>
  <cols>
    <col min="1" max="1" width="8.83333333333333" style="1" customWidth="1"/>
    <col min="2" max="2" width="12.1666666666667" style="1" customWidth="1"/>
    <col min="3" max="3" width="8.83333333333333" style="1" customWidth="1"/>
    <col min="4" max="4" width="30.9166666666667" style="2" customWidth="1"/>
    <col min="5" max="6" width="8.83333333333333" style="1" customWidth="1"/>
    <col min="7" max="7" width="8.5" style="1" customWidth="1"/>
    <col min="8" max="13" width="8.83333333333333" style="1" customWidth="1"/>
    <col min="14" max="16384" width="8.83333333333333" style="1"/>
  </cols>
  <sheetData>
    <row r="1" spans="1:13">
      <c r="A1" s="3" t="s">
        <v>0</v>
      </c>
      <c r="B1" s="3" t="s">
        <v>1</v>
      </c>
      <c r="C1" s="3" t="s">
        <v>2</v>
      </c>
      <c r="D1" s="4" t="s">
        <v>3</v>
      </c>
      <c r="E1" s="3" t="s">
        <v>4</v>
      </c>
      <c r="F1" s="3" t="s">
        <v>5</v>
      </c>
      <c r="G1" s="3"/>
      <c r="H1" s="3"/>
      <c r="I1" s="3"/>
      <c r="J1" s="3"/>
      <c r="K1" s="3"/>
      <c r="L1" s="3"/>
      <c r="M1" s="3"/>
    </row>
    <row r="2" spans="1:13">
      <c r="A2" s="3"/>
      <c r="B2" s="3"/>
      <c r="C2" s="3"/>
      <c r="D2" s="4"/>
      <c r="E2" s="3"/>
      <c r="F2" s="5" t="s">
        <v>6</v>
      </c>
      <c r="G2" s="5" t="s">
        <v>7</v>
      </c>
      <c r="H2" s="5" t="s">
        <v>8</v>
      </c>
      <c r="I2" s="5" t="s">
        <v>9</v>
      </c>
      <c r="J2" s="5" t="s">
        <v>10</v>
      </c>
      <c r="K2" s="5" t="s">
        <v>11</v>
      </c>
      <c r="L2" s="5" t="s">
        <v>12</v>
      </c>
      <c r="M2" s="5" t="s">
        <v>13</v>
      </c>
    </row>
    <row r="3" ht="176" spans="1:13">
      <c r="A3" s="6">
        <v>1</v>
      </c>
      <c r="B3" s="7" t="s">
        <v>14</v>
      </c>
      <c r="C3" s="7" t="s">
        <v>15</v>
      </c>
      <c r="D3" s="8" t="s">
        <v>16</v>
      </c>
      <c r="E3" s="9">
        <f>LEN(D3)-LEN(SUBSTITUTE(D3," ",""))+1</f>
        <v>65</v>
      </c>
      <c r="F3" s="10"/>
      <c r="G3" s="10"/>
      <c r="H3" s="10"/>
      <c r="I3" s="10"/>
      <c r="J3" s="10"/>
      <c r="K3" s="10"/>
      <c r="L3" s="10"/>
    </row>
    <row r="4" ht="53" spans="1:13">
      <c r="A4" s="6">
        <v>2</v>
      </c>
      <c r="B4" s="7" t="s">
        <v>17</v>
      </c>
      <c r="C4" s="7" t="s">
        <v>18</v>
      </c>
      <c r="D4" s="8" t="s">
        <v>19</v>
      </c>
      <c r="E4" s="9">
        <f t="shared" ref="E4:E67" si="0">LEN(D4)-LEN(SUBSTITUTE(D4," ",""))+1</f>
        <v>15</v>
      </c>
      <c r="F4" s="10"/>
      <c r="G4" s="10"/>
      <c r="H4" s="10"/>
      <c r="I4" s="10"/>
      <c r="J4" s="10"/>
      <c r="K4" s="10"/>
      <c r="L4" s="10"/>
    </row>
    <row r="5" ht="106" spans="1:13">
      <c r="A5" s="6">
        <v>3</v>
      </c>
      <c r="B5" s="11" t="s">
        <v>20</v>
      </c>
      <c r="C5" s="11" t="s">
        <v>15</v>
      </c>
      <c r="D5" s="8" t="s">
        <v>21</v>
      </c>
      <c r="E5" s="9">
        <f t="shared" si="0"/>
        <v>33</v>
      </c>
      <c r="F5" s="10"/>
      <c r="G5" s="10"/>
      <c r="H5" s="10"/>
      <c r="I5" s="10"/>
      <c r="J5" s="10"/>
      <c r="K5" s="10"/>
      <c r="L5" s="10">
        <v>1</v>
      </c>
    </row>
    <row r="6" ht="18" spans="1:13">
      <c r="A6" s="6">
        <v>4</v>
      </c>
      <c r="B6" s="11" t="s">
        <v>22</v>
      </c>
      <c r="C6" s="11" t="s">
        <v>23</v>
      </c>
      <c r="D6" s="12" t="s">
        <v>24</v>
      </c>
      <c r="E6" s="9">
        <f t="shared" si="0"/>
        <v>5</v>
      </c>
      <c r="F6" s="10"/>
      <c r="G6" s="10"/>
      <c r="H6" s="9" t="s">
        <v>25</v>
      </c>
      <c r="I6" s="10"/>
      <c r="J6" s="10"/>
      <c r="K6" s="10"/>
      <c r="L6" s="10"/>
    </row>
    <row r="7" ht="53" spans="1:13">
      <c r="A7" s="6">
        <v>5</v>
      </c>
      <c r="B7" s="11" t="s">
        <v>26</v>
      </c>
      <c r="C7" s="11" t="s">
        <v>15</v>
      </c>
      <c r="D7" s="12" t="s">
        <v>27</v>
      </c>
      <c r="E7" s="9">
        <f t="shared" si="0"/>
        <v>18</v>
      </c>
      <c r="F7" s="10"/>
      <c r="G7" s="10"/>
      <c r="H7" s="10"/>
      <c r="I7" s="10"/>
      <c r="J7" s="10"/>
      <c r="K7" s="10">
        <v>1</v>
      </c>
      <c r="L7" s="10"/>
    </row>
    <row r="8" ht="18" spans="1:13">
      <c r="A8" s="6">
        <v>6</v>
      </c>
      <c r="B8" s="11" t="s">
        <v>28</v>
      </c>
      <c r="C8" s="11" t="s">
        <v>29</v>
      </c>
      <c r="D8" s="12" t="s">
        <v>30</v>
      </c>
      <c r="E8" s="9">
        <f t="shared" si="0"/>
        <v>1</v>
      </c>
      <c r="F8" s="13"/>
      <c r="G8" s="13"/>
      <c r="H8" s="13"/>
      <c r="I8" s="10"/>
      <c r="J8" s="10"/>
      <c r="K8" s="10"/>
      <c r="L8" s="10"/>
    </row>
    <row r="9" ht="71" spans="1:13">
      <c r="A9" s="6">
        <v>7</v>
      </c>
      <c r="B9" s="11" t="s">
        <v>31</v>
      </c>
      <c r="C9" s="11" t="s">
        <v>15</v>
      </c>
      <c r="D9" s="12" t="s">
        <v>32</v>
      </c>
      <c r="E9" s="9">
        <f t="shared" si="0"/>
        <v>20</v>
      </c>
      <c r="F9" s="13"/>
      <c r="G9" s="13"/>
      <c r="H9" s="13"/>
      <c r="I9" s="10"/>
      <c r="J9" s="10"/>
      <c r="K9" s="10">
        <v>1</v>
      </c>
      <c r="L9" s="10"/>
    </row>
    <row r="10" ht="18" spans="1:13">
      <c r="A10" s="6">
        <v>8</v>
      </c>
      <c r="B10" s="11" t="s">
        <v>33</v>
      </c>
      <c r="C10" s="11" t="s">
        <v>34</v>
      </c>
      <c r="D10" s="12" t="s">
        <v>35</v>
      </c>
      <c r="E10" s="9">
        <f t="shared" si="0"/>
        <v>2</v>
      </c>
      <c r="F10" s="13"/>
      <c r="G10" s="13"/>
      <c r="H10" s="13"/>
      <c r="I10" s="10"/>
      <c r="J10" s="10"/>
      <c r="K10" s="10"/>
      <c r="L10" s="10"/>
    </row>
    <row r="11" ht="71" spans="1:13">
      <c r="A11" s="6">
        <v>9</v>
      </c>
      <c r="B11" s="11" t="s">
        <v>36</v>
      </c>
      <c r="C11" s="11" t="s">
        <v>15</v>
      </c>
      <c r="D11" s="12" t="s">
        <v>37</v>
      </c>
      <c r="E11" s="9">
        <f t="shared" si="0"/>
        <v>19</v>
      </c>
      <c r="F11" s="13"/>
      <c r="G11" s="13"/>
      <c r="H11" s="13">
        <v>1</v>
      </c>
      <c r="I11" s="10"/>
      <c r="J11" s="10"/>
      <c r="K11" s="10"/>
      <c r="L11" s="10"/>
    </row>
    <row r="12" ht="18" spans="1:13">
      <c r="A12" s="6">
        <v>10</v>
      </c>
      <c r="B12" s="11" t="s">
        <v>38</v>
      </c>
      <c r="C12" s="11" t="s">
        <v>34</v>
      </c>
      <c r="D12" s="12" t="s">
        <v>39</v>
      </c>
      <c r="E12" s="9">
        <f t="shared" si="0"/>
        <v>1</v>
      </c>
      <c r="F12" s="13"/>
      <c r="G12" s="13"/>
      <c r="H12" s="13"/>
      <c r="I12" s="10"/>
      <c r="J12" s="10"/>
      <c r="K12" s="10"/>
      <c r="L12" s="10"/>
    </row>
    <row r="13" ht="53" spans="1:13">
      <c r="A13" s="6">
        <v>11</v>
      </c>
      <c r="B13" s="11" t="s">
        <v>40</v>
      </c>
      <c r="C13" s="11" t="s">
        <v>15</v>
      </c>
      <c r="D13" s="12" t="s">
        <v>41</v>
      </c>
      <c r="E13" s="9">
        <f t="shared" si="0"/>
        <v>19</v>
      </c>
      <c r="F13" s="13">
        <v>1</v>
      </c>
      <c r="G13" s="13"/>
      <c r="H13" s="13"/>
      <c r="I13" s="10"/>
      <c r="J13" s="10"/>
      <c r="K13" s="10"/>
      <c r="L13" s="10"/>
    </row>
    <row r="14" ht="18" spans="1:13">
      <c r="A14" s="6">
        <v>12</v>
      </c>
      <c r="B14" s="11" t="s">
        <v>42</v>
      </c>
      <c r="C14" s="11" t="s">
        <v>34</v>
      </c>
      <c r="D14" s="12" t="s">
        <v>43</v>
      </c>
      <c r="E14" s="9">
        <f t="shared" si="0"/>
        <v>1</v>
      </c>
      <c r="F14" s="13"/>
      <c r="G14" s="13"/>
      <c r="H14" s="13"/>
      <c r="I14" s="10"/>
      <c r="J14" s="10"/>
      <c r="K14" s="10"/>
      <c r="L14" s="10"/>
    </row>
    <row r="15" ht="36" spans="1:13">
      <c r="A15" s="6">
        <v>13</v>
      </c>
      <c r="B15" s="11" t="s">
        <v>44</v>
      </c>
      <c r="C15" s="11" t="s">
        <v>15</v>
      </c>
      <c r="D15" s="12" t="s">
        <v>45</v>
      </c>
      <c r="E15" s="9">
        <f t="shared" si="0"/>
        <v>9</v>
      </c>
      <c r="F15" s="13"/>
      <c r="G15" s="13"/>
      <c r="H15" s="13"/>
      <c r="I15" s="10"/>
      <c r="J15" s="10"/>
      <c r="K15" s="10"/>
      <c r="L15" s="10"/>
    </row>
    <row r="16" ht="36" spans="1:13">
      <c r="A16" s="6">
        <v>14</v>
      </c>
      <c r="B16" s="11" t="s">
        <v>46</v>
      </c>
      <c r="C16" s="11" t="s">
        <v>34</v>
      </c>
      <c r="D16" s="12" t="s">
        <v>47</v>
      </c>
      <c r="E16" s="9">
        <f t="shared" si="0"/>
        <v>9</v>
      </c>
      <c r="F16" s="13"/>
      <c r="G16" s="13"/>
      <c r="H16" s="13"/>
      <c r="I16" s="10"/>
      <c r="J16" s="10"/>
      <c r="K16" s="10"/>
      <c r="L16" s="10"/>
    </row>
    <row r="17" ht="88" spans="1:12">
      <c r="A17" s="6">
        <v>15</v>
      </c>
      <c r="B17" s="11" t="s">
        <v>48</v>
      </c>
      <c r="C17" s="11" t="s">
        <v>15</v>
      </c>
      <c r="D17" s="12" t="s">
        <v>49</v>
      </c>
      <c r="E17" s="9">
        <f t="shared" si="0"/>
        <v>31</v>
      </c>
      <c r="F17" s="13"/>
      <c r="G17" s="13"/>
      <c r="H17" s="13"/>
      <c r="I17" s="10"/>
      <c r="J17" s="10"/>
      <c r="K17" s="10"/>
      <c r="L17" s="10">
        <v>1</v>
      </c>
    </row>
    <row r="18" ht="18" spans="1:12">
      <c r="A18" s="6">
        <v>16</v>
      </c>
      <c r="B18" s="11" t="s">
        <v>50</v>
      </c>
      <c r="C18" s="11" t="s">
        <v>51</v>
      </c>
      <c r="D18" s="12" t="s">
        <v>39</v>
      </c>
      <c r="E18" s="9">
        <f t="shared" si="0"/>
        <v>1</v>
      </c>
      <c r="F18" s="13"/>
      <c r="G18" s="13"/>
      <c r="H18" s="13"/>
      <c r="I18" s="10"/>
      <c r="J18" s="10"/>
      <c r="K18" s="10"/>
      <c r="L18" s="10"/>
    </row>
    <row r="19" ht="36" spans="1:12">
      <c r="A19" s="6">
        <v>17</v>
      </c>
      <c r="B19" s="11" t="s">
        <v>52</v>
      </c>
      <c r="C19" s="11" t="s">
        <v>15</v>
      </c>
      <c r="D19" s="12" t="s">
        <v>53</v>
      </c>
      <c r="E19" s="9">
        <f t="shared" si="0"/>
        <v>8</v>
      </c>
      <c r="F19" s="10"/>
      <c r="G19" s="10"/>
      <c r="H19" s="10"/>
      <c r="I19" s="10"/>
      <c r="J19" s="10"/>
      <c r="K19" s="10">
        <v>1</v>
      </c>
      <c r="L19" s="10"/>
    </row>
    <row r="20" ht="36" spans="1:12">
      <c r="A20" s="6">
        <v>18</v>
      </c>
      <c r="B20" s="11" t="s">
        <v>54</v>
      </c>
      <c r="C20" s="11" t="s">
        <v>55</v>
      </c>
      <c r="D20" s="12" t="s">
        <v>56</v>
      </c>
      <c r="E20" s="9">
        <f t="shared" si="0"/>
        <v>10</v>
      </c>
      <c r="F20" s="10"/>
      <c r="G20" s="10"/>
      <c r="H20" s="10"/>
      <c r="I20" s="10"/>
      <c r="J20" s="10"/>
      <c r="K20" s="10"/>
      <c r="L20" s="10"/>
    </row>
    <row r="21" ht="36" spans="1:12">
      <c r="A21" s="6">
        <v>19</v>
      </c>
      <c r="B21" s="11" t="s">
        <v>57</v>
      </c>
      <c r="C21" s="11" t="s">
        <v>15</v>
      </c>
      <c r="D21" s="12" t="s">
        <v>58</v>
      </c>
      <c r="E21" s="9">
        <f t="shared" si="0"/>
        <v>15</v>
      </c>
      <c r="F21" s="10"/>
      <c r="G21" s="10"/>
      <c r="H21" s="10"/>
      <c r="I21" s="10"/>
      <c r="J21" s="10"/>
      <c r="K21" s="10"/>
      <c r="L21" s="10"/>
    </row>
    <row r="22" ht="18" spans="1:12">
      <c r="A22" s="6">
        <v>20</v>
      </c>
      <c r="B22" s="11" t="s">
        <v>59</v>
      </c>
      <c r="C22" s="11" t="s">
        <v>60</v>
      </c>
      <c r="D22" s="12" t="s">
        <v>61</v>
      </c>
      <c r="E22" s="9">
        <f t="shared" si="0"/>
        <v>5</v>
      </c>
      <c r="F22" s="10"/>
      <c r="G22" s="10"/>
      <c r="H22" s="10"/>
      <c r="I22" s="10"/>
      <c r="J22" s="10"/>
      <c r="K22" s="10"/>
      <c r="L22" s="10"/>
    </row>
    <row r="23" ht="36" spans="1:12">
      <c r="A23" s="6">
        <v>21</v>
      </c>
      <c r="B23" s="11" t="s">
        <v>62</v>
      </c>
      <c r="C23" s="11" t="s">
        <v>15</v>
      </c>
      <c r="D23" s="12" t="s">
        <v>63</v>
      </c>
      <c r="E23" s="9">
        <f t="shared" si="0"/>
        <v>9</v>
      </c>
      <c r="F23" s="10">
        <v>1</v>
      </c>
      <c r="G23" s="10"/>
      <c r="H23" s="10"/>
      <c r="I23" s="10"/>
      <c r="J23" s="10"/>
      <c r="K23" s="10"/>
      <c r="L23" s="10"/>
    </row>
    <row r="24" ht="18" spans="1:12">
      <c r="A24" s="6">
        <v>22</v>
      </c>
      <c r="B24" s="11" t="s">
        <v>64</v>
      </c>
      <c r="C24" s="11" t="s">
        <v>60</v>
      </c>
      <c r="D24" s="12" t="s">
        <v>65</v>
      </c>
      <c r="E24" s="9">
        <f t="shared" si="0"/>
        <v>3</v>
      </c>
      <c r="F24" s="10"/>
      <c r="G24" s="10"/>
      <c r="H24" s="10"/>
      <c r="I24" s="10"/>
      <c r="J24" s="10"/>
      <c r="K24" s="10"/>
      <c r="L24" s="10"/>
    </row>
    <row r="25" ht="36" spans="1:12">
      <c r="A25" s="6">
        <v>23</v>
      </c>
      <c r="B25" s="11" t="s">
        <v>66</v>
      </c>
      <c r="C25" s="11" t="s">
        <v>15</v>
      </c>
      <c r="D25" s="12" t="s">
        <v>67</v>
      </c>
      <c r="E25" s="9">
        <f t="shared" si="0"/>
        <v>15</v>
      </c>
      <c r="F25" s="10">
        <v>1</v>
      </c>
      <c r="G25" s="10"/>
      <c r="H25" s="10"/>
      <c r="I25" s="10"/>
      <c r="J25" s="10"/>
      <c r="K25" s="10"/>
      <c r="L25" s="10"/>
    </row>
    <row r="26" ht="18" spans="1:12">
      <c r="A26" s="6">
        <v>24</v>
      </c>
      <c r="B26" s="11" t="s">
        <v>68</v>
      </c>
      <c r="C26" s="11" t="s">
        <v>60</v>
      </c>
      <c r="D26" s="12" t="s">
        <v>69</v>
      </c>
      <c r="E26" s="9">
        <f t="shared" si="0"/>
        <v>4</v>
      </c>
      <c r="F26" s="10"/>
      <c r="G26" s="10"/>
      <c r="H26" s="10"/>
      <c r="I26" s="10"/>
      <c r="J26" s="10"/>
      <c r="K26" s="10"/>
      <c r="L26" s="10"/>
    </row>
    <row r="27" ht="53" spans="1:12">
      <c r="A27" s="6">
        <v>25</v>
      </c>
      <c r="B27" s="11" t="s">
        <v>70</v>
      </c>
      <c r="C27" s="11" t="s">
        <v>15</v>
      </c>
      <c r="D27" s="12" t="s">
        <v>71</v>
      </c>
      <c r="E27" s="9">
        <f t="shared" si="0"/>
        <v>18</v>
      </c>
      <c r="F27" s="10"/>
      <c r="G27" s="10"/>
      <c r="H27" s="10"/>
      <c r="I27" s="10"/>
      <c r="J27" s="10"/>
      <c r="K27" s="10"/>
      <c r="L27" s="10"/>
    </row>
    <row r="28" ht="18" spans="1:12">
      <c r="A28" s="6">
        <v>26</v>
      </c>
      <c r="B28" s="11" t="s">
        <v>72</v>
      </c>
      <c r="C28" s="11" t="s">
        <v>73</v>
      </c>
      <c r="D28" s="12" t="s">
        <v>39</v>
      </c>
      <c r="E28" s="9">
        <f t="shared" si="0"/>
        <v>1</v>
      </c>
      <c r="F28" s="10"/>
      <c r="G28" s="10"/>
      <c r="H28" s="10"/>
      <c r="I28" s="10"/>
      <c r="J28" s="10"/>
      <c r="K28" s="10"/>
      <c r="L28" s="10"/>
    </row>
    <row r="29" ht="71" spans="1:12">
      <c r="A29" s="6">
        <v>27</v>
      </c>
      <c r="B29" s="11" t="s">
        <v>74</v>
      </c>
      <c r="C29" s="11" t="s">
        <v>15</v>
      </c>
      <c r="D29" s="12" t="s">
        <v>75</v>
      </c>
      <c r="E29" s="9">
        <f t="shared" si="0"/>
        <v>24</v>
      </c>
      <c r="F29" s="10"/>
      <c r="G29" s="10"/>
      <c r="H29" s="10"/>
      <c r="I29" s="10"/>
      <c r="J29" s="10"/>
      <c r="K29" s="10"/>
      <c r="L29" s="10">
        <v>1</v>
      </c>
    </row>
    <row r="30" ht="36" spans="1:12">
      <c r="A30" s="6">
        <v>28</v>
      </c>
      <c r="B30" s="11" t="s">
        <v>76</v>
      </c>
      <c r="C30" s="11" t="s">
        <v>60</v>
      </c>
      <c r="D30" s="12" t="s">
        <v>77</v>
      </c>
      <c r="E30" s="9">
        <f t="shared" si="0"/>
        <v>10</v>
      </c>
      <c r="F30" s="10"/>
      <c r="G30" s="10"/>
      <c r="H30" s="10"/>
      <c r="I30" s="10"/>
      <c r="J30" s="10"/>
      <c r="K30" s="10"/>
      <c r="L30" s="10"/>
    </row>
    <row r="31" ht="106" spans="1:12">
      <c r="A31" s="6">
        <v>29</v>
      </c>
      <c r="B31" s="11" t="s">
        <v>78</v>
      </c>
      <c r="C31" s="11" t="s">
        <v>15</v>
      </c>
      <c r="D31" s="12" t="s">
        <v>79</v>
      </c>
      <c r="E31" s="9">
        <f t="shared" si="0"/>
        <v>36</v>
      </c>
      <c r="F31" s="10">
        <v>1</v>
      </c>
      <c r="G31" s="10"/>
      <c r="H31" s="10"/>
      <c r="I31" s="10"/>
      <c r="J31" s="10"/>
      <c r="K31" s="10"/>
      <c r="L31" s="10"/>
    </row>
    <row r="32" ht="18" spans="1:12">
      <c r="A32" s="6">
        <v>30</v>
      </c>
      <c r="B32" s="11" t="s">
        <v>80</v>
      </c>
      <c r="C32" s="11" t="s">
        <v>60</v>
      </c>
      <c r="D32" s="12" t="s">
        <v>39</v>
      </c>
      <c r="E32" s="9">
        <f t="shared" si="0"/>
        <v>1</v>
      </c>
      <c r="F32" s="10"/>
      <c r="G32" s="10"/>
      <c r="H32" s="10"/>
      <c r="I32" s="10"/>
      <c r="J32" s="10"/>
      <c r="K32" s="10"/>
      <c r="L32" s="10"/>
    </row>
    <row r="33" ht="53" spans="1:12">
      <c r="A33" s="6">
        <v>31</v>
      </c>
      <c r="B33" s="11" t="s">
        <v>81</v>
      </c>
      <c r="C33" s="11" t="s">
        <v>15</v>
      </c>
      <c r="D33" s="12" t="s">
        <v>82</v>
      </c>
      <c r="E33" s="9">
        <f t="shared" si="0"/>
        <v>16</v>
      </c>
      <c r="F33" s="10"/>
      <c r="G33" s="10"/>
      <c r="H33" s="10"/>
      <c r="I33" s="10"/>
      <c r="J33" s="10"/>
      <c r="K33" s="10"/>
      <c r="L33" s="10">
        <v>1</v>
      </c>
    </row>
    <row r="34" ht="18" spans="1:12">
      <c r="A34" s="6">
        <v>32</v>
      </c>
      <c r="B34" s="11" t="s">
        <v>83</v>
      </c>
      <c r="C34" s="11" t="s">
        <v>84</v>
      </c>
      <c r="D34" s="12" t="s">
        <v>85</v>
      </c>
      <c r="E34" s="9">
        <f t="shared" si="0"/>
        <v>5</v>
      </c>
      <c r="F34" s="10"/>
      <c r="G34" s="10"/>
      <c r="H34" s="10"/>
      <c r="I34" s="10"/>
      <c r="J34" s="10"/>
      <c r="K34" s="10"/>
      <c r="L34" s="10"/>
    </row>
    <row r="35" ht="71" spans="1:12">
      <c r="A35" s="6">
        <v>33</v>
      </c>
      <c r="B35" s="11" t="s">
        <v>86</v>
      </c>
      <c r="C35" s="11" t="s">
        <v>15</v>
      </c>
      <c r="D35" s="12" t="s">
        <v>87</v>
      </c>
      <c r="E35" s="9">
        <f t="shared" si="0"/>
        <v>24</v>
      </c>
      <c r="F35" s="10"/>
      <c r="G35" s="10"/>
      <c r="H35" s="10"/>
      <c r="I35" s="10"/>
      <c r="J35" s="10"/>
      <c r="K35" s="10"/>
      <c r="L35" s="10">
        <v>1</v>
      </c>
    </row>
    <row r="36" ht="18" spans="1:12">
      <c r="A36" s="6">
        <v>34</v>
      </c>
      <c r="B36" s="11" t="s">
        <v>88</v>
      </c>
      <c r="C36" s="11" t="s">
        <v>89</v>
      </c>
      <c r="D36" s="12" t="s">
        <v>90</v>
      </c>
      <c r="E36" s="9">
        <f t="shared" si="0"/>
        <v>2</v>
      </c>
      <c r="F36" s="10"/>
      <c r="G36" s="10"/>
      <c r="H36" s="10"/>
      <c r="I36" s="10"/>
      <c r="J36" s="10"/>
      <c r="K36" s="10"/>
      <c r="L36" s="10"/>
    </row>
    <row r="37" ht="71" spans="1:12">
      <c r="A37" s="6">
        <v>35</v>
      </c>
      <c r="B37" s="11" t="s">
        <v>91</v>
      </c>
      <c r="C37" s="11" t="s">
        <v>15</v>
      </c>
      <c r="D37" s="12" t="s">
        <v>92</v>
      </c>
      <c r="E37" s="9">
        <f t="shared" si="0"/>
        <v>25</v>
      </c>
      <c r="F37" s="10">
        <v>1</v>
      </c>
      <c r="G37" s="10"/>
      <c r="H37" s="10"/>
      <c r="I37" s="10"/>
      <c r="J37" s="10"/>
      <c r="K37" s="10"/>
      <c r="L37" s="10"/>
    </row>
    <row r="38" ht="18" spans="1:12">
      <c r="A38" s="6">
        <v>36</v>
      </c>
      <c r="B38" s="11" t="s">
        <v>93</v>
      </c>
      <c r="C38" s="11" t="s">
        <v>89</v>
      </c>
      <c r="D38" s="12" t="s">
        <v>94</v>
      </c>
      <c r="E38" s="9">
        <f t="shared" si="0"/>
        <v>2</v>
      </c>
      <c r="F38" s="10"/>
      <c r="G38" s="10"/>
      <c r="H38" s="10"/>
      <c r="I38" s="10"/>
      <c r="J38" s="10"/>
      <c r="K38" s="10"/>
      <c r="L38" s="10"/>
    </row>
    <row r="39" ht="36" spans="1:12">
      <c r="A39" s="6">
        <v>37</v>
      </c>
      <c r="B39" s="11" t="s">
        <v>95</v>
      </c>
      <c r="C39" s="11" t="s">
        <v>15</v>
      </c>
      <c r="D39" s="12" t="s">
        <v>96</v>
      </c>
      <c r="E39" s="9">
        <f t="shared" si="0"/>
        <v>10</v>
      </c>
      <c r="F39" s="10"/>
      <c r="G39" s="10"/>
      <c r="H39" s="10"/>
      <c r="I39" s="10">
        <v>1</v>
      </c>
      <c r="J39" s="10"/>
      <c r="K39" s="10"/>
      <c r="L39" s="10"/>
    </row>
    <row r="40" ht="18" spans="1:12">
      <c r="A40" s="6">
        <v>38</v>
      </c>
      <c r="B40" s="11" t="s">
        <v>97</v>
      </c>
      <c r="C40" s="11" t="s">
        <v>89</v>
      </c>
      <c r="D40" s="12" t="s">
        <v>98</v>
      </c>
      <c r="E40" s="9">
        <f t="shared" si="0"/>
        <v>4</v>
      </c>
      <c r="F40" s="10"/>
      <c r="G40" s="10"/>
      <c r="H40" s="10"/>
      <c r="I40" s="10"/>
      <c r="J40" s="10"/>
      <c r="K40" s="10"/>
      <c r="L40" s="10"/>
    </row>
    <row r="41" ht="18" spans="1:12">
      <c r="A41" s="6">
        <v>39</v>
      </c>
      <c r="B41" s="11" t="s">
        <v>99</v>
      </c>
      <c r="C41" s="11" t="s">
        <v>15</v>
      </c>
      <c r="D41" s="12" t="s">
        <v>100</v>
      </c>
      <c r="E41" s="9">
        <f t="shared" si="0"/>
        <v>6</v>
      </c>
      <c r="F41" s="10"/>
      <c r="G41" s="10">
        <v>1</v>
      </c>
      <c r="H41" s="10"/>
      <c r="I41" s="10"/>
      <c r="J41" s="10"/>
      <c r="K41" s="10"/>
      <c r="L41" s="10"/>
    </row>
    <row r="42" ht="18" spans="1:12">
      <c r="A42" s="6">
        <v>40</v>
      </c>
      <c r="B42" s="11" t="s">
        <v>101</v>
      </c>
      <c r="C42" s="11" t="s">
        <v>89</v>
      </c>
      <c r="D42" s="12" t="s">
        <v>102</v>
      </c>
      <c r="E42" s="9">
        <f t="shared" si="0"/>
        <v>3</v>
      </c>
      <c r="F42" s="10"/>
      <c r="G42" s="10"/>
      <c r="H42" s="10"/>
      <c r="I42" s="10"/>
      <c r="J42" s="10"/>
      <c r="K42" s="10"/>
      <c r="L42" s="10"/>
    </row>
    <row r="43" ht="18" spans="1:12">
      <c r="A43" s="6">
        <v>41</v>
      </c>
      <c r="B43" s="11" t="s">
        <v>103</v>
      </c>
      <c r="C43" s="11" t="s">
        <v>15</v>
      </c>
      <c r="D43" s="12" t="s">
        <v>104</v>
      </c>
      <c r="E43" s="9">
        <f t="shared" si="0"/>
        <v>2</v>
      </c>
      <c r="F43" s="10">
        <v>1</v>
      </c>
      <c r="G43" s="10"/>
      <c r="H43" s="10"/>
      <c r="I43" s="10"/>
      <c r="J43" s="10"/>
      <c r="K43" s="10"/>
      <c r="L43" s="10"/>
    </row>
    <row r="44" ht="18" spans="1:12">
      <c r="A44" s="6">
        <v>42</v>
      </c>
      <c r="B44" s="11" t="s">
        <v>105</v>
      </c>
      <c r="C44" s="11" t="s">
        <v>89</v>
      </c>
      <c r="D44" s="12" t="s">
        <v>106</v>
      </c>
      <c r="E44" s="9">
        <f t="shared" si="0"/>
        <v>5</v>
      </c>
      <c r="F44" s="10"/>
      <c r="G44" s="10"/>
      <c r="H44" s="10"/>
      <c r="I44" s="10"/>
      <c r="J44" s="10"/>
      <c r="K44" s="10"/>
      <c r="L44" s="10"/>
    </row>
    <row r="45" ht="53" spans="1:12">
      <c r="A45" s="6">
        <v>43</v>
      </c>
      <c r="B45" s="11" t="s">
        <v>107</v>
      </c>
      <c r="C45" s="11" t="s">
        <v>15</v>
      </c>
      <c r="D45" s="12" t="s">
        <v>108</v>
      </c>
      <c r="E45" s="9">
        <f t="shared" si="0"/>
        <v>13</v>
      </c>
      <c r="F45" s="10"/>
      <c r="G45" s="10"/>
      <c r="H45" s="10">
        <v>1</v>
      </c>
      <c r="I45" s="10"/>
      <c r="J45" s="10"/>
      <c r="K45" s="10"/>
      <c r="L45" s="10"/>
    </row>
    <row r="46" ht="36" spans="1:12">
      <c r="A46" s="6">
        <v>44</v>
      </c>
      <c r="B46" s="11" t="s">
        <v>109</v>
      </c>
      <c r="C46" s="11" t="s">
        <v>89</v>
      </c>
      <c r="D46" s="12" t="s">
        <v>110</v>
      </c>
      <c r="E46" s="9">
        <f t="shared" si="0"/>
        <v>9</v>
      </c>
      <c r="F46" s="10"/>
      <c r="G46" s="10"/>
      <c r="H46" s="10"/>
      <c r="I46" s="10"/>
      <c r="J46" s="10"/>
      <c r="K46" s="10"/>
      <c r="L46" s="10"/>
    </row>
    <row r="47" ht="71" spans="1:12">
      <c r="A47" s="6">
        <v>45</v>
      </c>
      <c r="B47" s="11" t="s">
        <v>111</v>
      </c>
      <c r="C47" s="11" t="s">
        <v>15</v>
      </c>
      <c r="D47" s="12" t="s">
        <v>112</v>
      </c>
      <c r="E47" s="9">
        <f t="shared" si="0"/>
        <v>19</v>
      </c>
      <c r="F47" s="10"/>
      <c r="G47" s="10"/>
      <c r="H47" s="10"/>
      <c r="I47" s="10"/>
      <c r="J47" s="10"/>
      <c r="K47" s="10"/>
      <c r="L47" s="10">
        <v>1</v>
      </c>
    </row>
    <row r="48" ht="18" spans="1:12">
      <c r="A48" s="6">
        <v>46</v>
      </c>
      <c r="B48" s="11" t="s">
        <v>113</v>
      </c>
      <c r="C48" s="11" t="s">
        <v>114</v>
      </c>
      <c r="D48" s="12" t="s">
        <v>115</v>
      </c>
      <c r="E48" s="9">
        <f t="shared" si="0"/>
        <v>1</v>
      </c>
      <c r="F48" s="10"/>
      <c r="G48" s="10"/>
      <c r="H48" s="10"/>
      <c r="I48" s="10"/>
      <c r="J48" s="10"/>
      <c r="K48" s="10"/>
      <c r="L48" s="10"/>
    </row>
    <row r="49" ht="141" spans="1:12">
      <c r="A49" s="6">
        <v>47</v>
      </c>
      <c r="B49" s="11" t="s">
        <v>116</v>
      </c>
      <c r="C49" s="11" t="s">
        <v>15</v>
      </c>
      <c r="D49" s="12" t="s">
        <v>117</v>
      </c>
      <c r="E49" s="9">
        <f t="shared" si="0"/>
        <v>52</v>
      </c>
      <c r="F49" s="10">
        <v>1</v>
      </c>
      <c r="G49" s="10"/>
      <c r="H49" s="10"/>
      <c r="I49" s="10"/>
      <c r="J49" s="10"/>
      <c r="K49" s="10"/>
      <c r="L49" s="10"/>
    </row>
    <row r="50" ht="18" spans="1:12">
      <c r="A50" s="6">
        <v>48</v>
      </c>
      <c r="B50" s="11" t="s">
        <v>118</v>
      </c>
      <c r="C50" s="11" t="s">
        <v>114</v>
      </c>
      <c r="D50" s="12" t="s">
        <v>119</v>
      </c>
      <c r="E50" s="9">
        <f t="shared" si="0"/>
        <v>1</v>
      </c>
      <c r="F50" s="10"/>
      <c r="G50" s="10"/>
      <c r="H50" s="10"/>
      <c r="I50" s="10"/>
      <c r="J50" s="10"/>
      <c r="K50" s="10"/>
      <c r="L50" s="10"/>
    </row>
    <row r="51" ht="18" spans="1:12">
      <c r="A51" s="6">
        <v>49</v>
      </c>
      <c r="B51" s="11" t="s">
        <v>120</v>
      </c>
      <c r="C51" s="11" t="s">
        <v>15</v>
      </c>
      <c r="D51" s="12" t="s">
        <v>121</v>
      </c>
      <c r="E51" s="9">
        <f t="shared" si="0"/>
        <v>4</v>
      </c>
      <c r="F51" s="10">
        <v>1</v>
      </c>
      <c r="G51" s="10"/>
      <c r="H51" s="10"/>
      <c r="I51" s="10"/>
      <c r="J51" s="10"/>
      <c r="K51" s="10"/>
      <c r="L51" s="10"/>
    </row>
    <row r="52" ht="18" spans="1:12">
      <c r="A52" s="6">
        <v>50</v>
      </c>
      <c r="B52" s="11" t="s">
        <v>122</v>
      </c>
      <c r="C52" s="11" t="s">
        <v>114</v>
      </c>
      <c r="D52" s="12" t="s">
        <v>123</v>
      </c>
      <c r="E52" s="9">
        <f t="shared" si="0"/>
        <v>2</v>
      </c>
      <c r="F52" s="10"/>
      <c r="G52" s="10"/>
      <c r="H52" s="10"/>
      <c r="I52" s="10"/>
      <c r="J52" s="10"/>
      <c r="K52" s="10"/>
      <c r="L52" s="10"/>
    </row>
    <row r="53" ht="88" spans="1:12">
      <c r="A53" s="6">
        <v>51</v>
      </c>
      <c r="B53" s="11" t="s">
        <v>124</v>
      </c>
      <c r="C53" s="11" t="s">
        <v>15</v>
      </c>
      <c r="D53" s="12" t="s">
        <v>125</v>
      </c>
      <c r="E53" s="9">
        <f t="shared" si="0"/>
        <v>29</v>
      </c>
      <c r="F53" s="10"/>
      <c r="G53" s="10"/>
      <c r="H53" s="10"/>
      <c r="I53" s="10"/>
      <c r="J53" s="10"/>
      <c r="K53" s="10"/>
      <c r="L53" s="10">
        <v>1</v>
      </c>
    </row>
    <row r="54" ht="18" spans="1:12">
      <c r="A54" s="6">
        <v>52</v>
      </c>
      <c r="B54" s="11" t="s">
        <v>126</v>
      </c>
      <c r="C54" s="11" t="s">
        <v>127</v>
      </c>
      <c r="D54" s="12" t="s">
        <v>39</v>
      </c>
      <c r="E54" s="9">
        <f t="shared" si="0"/>
        <v>1</v>
      </c>
      <c r="F54" s="10"/>
      <c r="G54" s="10"/>
      <c r="H54" s="10"/>
      <c r="I54" s="10"/>
      <c r="J54" s="10"/>
      <c r="K54" s="10"/>
      <c r="L54" s="10"/>
    </row>
    <row r="55" ht="36" spans="1:12">
      <c r="A55" s="6">
        <v>53</v>
      </c>
      <c r="B55" s="11" t="s">
        <v>128</v>
      </c>
      <c r="C55" s="11" t="s">
        <v>15</v>
      </c>
      <c r="D55" s="12" t="s">
        <v>129</v>
      </c>
      <c r="E55" s="9">
        <f t="shared" si="0"/>
        <v>12</v>
      </c>
      <c r="F55" s="10">
        <v>1</v>
      </c>
      <c r="G55" s="10"/>
      <c r="H55" s="10"/>
      <c r="I55" s="10"/>
      <c r="J55" s="10"/>
      <c r="K55" s="10"/>
      <c r="L55" s="10"/>
    </row>
    <row r="56" ht="18" spans="1:12">
      <c r="A56" s="6">
        <v>54</v>
      </c>
      <c r="B56" s="11" t="s">
        <v>130</v>
      </c>
      <c r="C56" s="11" t="s">
        <v>127</v>
      </c>
      <c r="D56" s="12" t="s">
        <v>131</v>
      </c>
      <c r="E56" s="9">
        <f t="shared" si="0"/>
        <v>3</v>
      </c>
      <c r="F56" s="10"/>
      <c r="G56" s="10"/>
      <c r="H56" s="10"/>
      <c r="I56" s="10"/>
      <c r="J56" s="10"/>
      <c r="K56" s="10"/>
      <c r="L56" s="10"/>
    </row>
    <row r="57" ht="18" spans="1:12">
      <c r="A57" s="6">
        <v>55</v>
      </c>
      <c r="B57" s="11" t="s">
        <v>132</v>
      </c>
      <c r="C57" s="11" t="s">
        <v>15</v>
      </c>
      <c r="D57" s="12" t="s">
        <v>133</v>
      </c>
      <c r="E57" s="9">
        <f t="shared" si="0"/>
        <v>8</v>
      </c>
      <c r="F57" s="10"/>
      <c r="G57" s="10"/>
      <c r="H57" s="10">
        <v>1</v>
      </c>
      <c r="I57" s="10"/>
      <c r="J57" s="10"/>
      <c r="K57" s="10"/>
      <c r="L57" s="10"/>
    </row>
    <row r="58" ht="18" spans="1:12">
      <c r="A58" s="6">
        <v>56</v>
      </c>
      <c r="B58" s="11" t="s">
        <v>134</v>
      </c>
      <c r="C58" s="11" t="s">
        <v>127</v>
      </c>
      <c r="D58" s="12" t="s">
        <v>135</v>
      </c>
      <c r="E58" s="9">
        <f t="shared" si="0"/>
        <v>3</v>
      </c>
      <c r="F58" s="10"/>
      <c r="G58" s="10"/>
      <c r="H58" s="10"/>
      <c r="I58" s="10"/>
      <c r="J58" s="10"/>
      <c r="K58" s="10"/>
      <c r="L58" s="10"/>
    </row>
    <row r="59" ht="176" spans="1:12">
      <c r="A59" s="6">
        <v>57</v>
      </c>
      <c r="B59" s="11" t="s">
        <v>136</v>
      </c>
      <c r="C59" s="11" t="s">
        <v>15</v>
      </c>
      <c r="D59" s="12" t="s">
        <v>137</v>
      </c>
      <c r="E59" s="9">
        <f t="shared" si="0"/>
        <v>59</v>
      </c>
      <c r="F59" s="10"/>
      <c r="G59" s="10"/>
      <c r="H59" s="10"/>
      <c r="I59" s="10"/>
      <c r="J59" s="10"/>
      <c r="K59" s="10">
        <v>1</v>
      </c>
      <c r="L59" s="10"/>
    </row>
    <row r="60" ht="36" spans="1:12">
      <c r="A60" s="6">
        <v>58</v>
      </c>
      <c r="B60" s="11" t="s">
        <v>138</v>
      </c>
      <c r="C60" s="11" t="s">
        <v>139</v>
      </c>
      <c r="D60" s="12" t="s">
        <v>140</v>
      </c>
      <c r="E60" s="9">
        <f t="shared" si="0"/>
        <v>13</v>
      </c>
      <c r="F60" s="10"/>
      <c r="G60" s="10"/>
      <c r="H60" s="10"/>
      <c r="I60" s="10"/>
      <c r="J60" s="10"/>
      <c r="K60" s="10"/>
      <c r="L60" s="10"/>
    </row>
    <row r="61" ht="88" spans="1:12">
      <c r="A61" s="6">
        <v>59</v>
      </c>
      <c r="B61" s="11" t="s">
        <v>141</v>
      </c>
      <c r="C61" s="11" t="s">
        <v>15</v>
      </c>
      <c r="D61" s="12" t="s">
        <v>142</v>
      </c>
      <c r="E61" s="9">
        <f t="shared" si="0"/>
        <v>30</v>
      </c>
      <c r="F61" s="10"/>
      <c r="G61" s="10"/>
      <c r="H61" s="10">
        <v>1</v>
      </c>
      <c r="I61" s="10"/>
      <c r="J61" s="10"/>
      <c r="K61" s="10"/>
      <c r="L61" s="10"/>
    </row>
    <row r="62" ht="18" spans="1:12">
      <c r="A62" s="6">
        <v>60</v>
      </c>
      <c r="B62" s="11" t="s">
        <v>143</v>
      </c>
      <c r="C62" s="11" t="s">
        <v>18</v>
      </c>
      <c r="D62" s="12" t="s">
        <v>144</v>
      </c>
      <c r="E62" s="9">
        <f t="shared" si="0"/>
        <v>7</v>
      </c>
      <c r="F62" s="10"/>
      <c r="G62" s="10"/>
      <c r="H62" s="10"/>
      <c r="I62" s="10"/>
      <c r="J62" s="10"/>
      <c r="K62" s="10"/>
      <c r="L62" s="10"/>
    </row>
    <row r="63" ht="71" spans="1:12">
      <c r="A63" s="6">
        <v>61</v>
      </c>
      <c r="B63" s="11" t="s">
        <v>145</v>
      </c>
      <c r="C63" s="11" t="s">
        <v>15</v>
      </c>
      <c r="D63" s="12" t="s">
        <v>146</v>
      </c>
      <c r="E63" s="9">
        <f t="shared" si="0"/>
        <v>26</v>
      </c>
      <c r="F63" s="10">
        <v>1</v>
      </c>
      <c r="G63" s="10"/>
      <c r="H63" s="10"/>
      <c r="I63" s="10"/>
      <c r="J63" s="10"/>
      <c r="K63" s="10"/>
      <c r="L63" s="10"/>
    </row>
    <row r="64" ht="18" spans="1:12">
      <c r="A64" s="6">
        <v>62</v>
      </c>
      <c r="B64" s="11" t="s">
        <v>147</v>
      </c>
      <c r="C64" s="11" t="s">
        <v>18</v>
      </c>
      <c r="D64" s="12" t="s">
        <v>148</v>
      </c>
      <c r="E64" s="9">
        <f t="shared" si="0"/>
        <v>7</v>
      </c>
      <c r="F64" s="10"/>
      <c r="G64" s="10"/>
      <c r="H64" s="10"/>
      <c r="I64" s="10"/>
      <c r="J64" s="10"/>
      <c r="K64" s="10"/>
      <c r="L64" s="10"/>
    </row>
    <row r="65" ht="36" spans="1:14">
      <c r="A65" s="6">
        <v>63</v>
      </c>
      <c r="B65" s="11" t="s">
        <v>149</v>
      </c>
      <c r="C65" s="11" t="s">
        <v>15</v>
      </c>
      <c r="D65" s="12" t="s">
        <v>150</v>
      </c>
      <c r="E65" s="9">
        <f t="shared" si="0"/>
        <v>9</v>
      </c>
      <c r="F65" s="10"/>
      <c r="G65" s="10"/>
      <c r="H65" s="10">
        <v>1</v>
      </c>
      <c r="I65" s="10"/>
      <c r="J65" s="10"/>
      <c r="K65" s="10"/>
      <c r="L65" s="10"/>
    </row>
    <row r="66" ht="18" spans="1:14">
      <c r="A66" s="6">
        <v>64</v>
      </c>
      <c r="B66" s="11" t="s">
        <v>151</v>
      </c>
      <c r="C66" s="11" t="s">
        <v>18</v>
      </c>
      <c r="D66" s="12" t="s">
        <v>152</v>
      </c>
      <c r="E66" s="9">
        <f t="shared" si="0"/>
        <v>4</v>
      </c>
      <c r="F66" s="10"/>
      <c r="G66" s="10"/>
      <c r="H66" s="10"/>
      <c r="I66" s="10"/>
      <c r="J66" s="10"/>
      <c r="K66" s="10"/>
      <c r="L66" s="10"/>
    </row>
    <row r="67" ht="53" spans="1:14">
      <c r="A67" s="6">
        <v>65</v>
      </c>
      <c r="B67" s="11" t="s">
        <v>153</v>
      </c>
      <c r="C67" s="11" t="s">
        <v>15</v>
      </c>
      <c r="D67" s="12" t="s">
        <v>154</v>
      </c>
      <c r="E67" s="9">
        <f t="shared" si="0"/>
        <v>16</v>
      </c>
      <c r="F67" s="10"/>
      <c r="G67" s="10"/>
      <c r="H67" s="10"/>
      <c r="I67" s="10"/>
      <c r="J67" s="10"/>
      <c r="K67" s="10"/>
      <c r="L67" s="10">
        <v>1</v>
      </c>
    </row>
    <row r="68" ht="18" spans="1:14">
      <c r="A68" s="6">
        <v>66</v>
      </c>
      <c r="B68" s="11" t="s">
        <v>155</v>
      </c>
      <c r="C68" s="11" t="s">
        <v>73</v>
      </c>
      <c r="D68" s="12" t="s">
        <v>156</v>
      </c>
      <c r="E68" s="9">
        <f t="shared" ref="E68:E131" si="1">LEN(D68)-LEN(SUBSTITUTE(D68," ",""))+1</f>
        <v>1</v>
      </c>
      <c r="F68" s="10"/>
      <c r="G68" s="10"/>
      <c r="H68" s="10"/>
      <c r="I68" s="10"/>
      <c r="J68" s="10"/>
      <c r="K68" s="10"/>
      <c r="L68" s="10"/>
    </row>
    <row r="69" ht="88" spans="1:14">
      <c r="A69" s="6">
        <v>67</v>
      </c>
      <c r="B69" s="11" t="s">
        <v>157</v>
      </c>
      <c r="C69" s="11" t="s">
        <v>15</v>
      </c>
      <c r="D69" s="12" t="s">
        <v>158</v>
      </c>
      <c r="E69" s="9">
        <f t="shared" si="1"/>
        <v>29</v>
      </c>
      <c r="F69" s="10"/>
      <c r="G69" s="10"/>
      <c r="H69" s="10">
        <v>1</v>
      </c>
      <c r="I69" s="10"/>
      <c r="J69" s="10"/>
      <c r="K69" s="10"/>
      <c r="L69" s="10"/>
    </row>
    <row r="70" ht="18" spans="1:14">
      <c r="A70" s="6">
        <v>68</v>
      </c>
      <c r="B70" s="11" t="s">
        <v>159</v>
      </c>
      <c r="C70" s="11" t="s">
        <v>160</v>
      </c>
      <c r="D70" s="12" t="s">
        <v>161</v>
      </c>
      <c r="E70" s="9">
        <f t="shared" si="1"/>
        <v>6</v>
      </c>
      <c r="F70" s="10"/>
      <c r="G70" s="10"/>
      <c r="H70" s="10"/>
      <c r="I70" s="10"/>
      <c r="J70" s="10"/>
      <c r="K70" s="10"/>
      <c r="L70" s="10"/>
    </row>
    <row r="71" ht="18" spans="1:14">
      <c r="A71" s="6">
        <v>69</v>
      </c>
      <c r="B71" s="11" t="s">
        <v>162</v>
      </c>
      <c r="C71" s="11" t="s">
        <v>15</v>
      </c>
      <c r="D71" s="12" t="s">
        <v>163</v>
      </c>
      <c r="E71" s="9">
        <f t="shared" si="1"/>
        <v>6</v>
      </c>
      <c r="F71" s="10"/>
      <c r="G71" s="10"/>
      <c r="H71" s="10"/>
      <c r="I71" s="10">
        <v>1</v>
      </c>
      <c r="J71" s="10"/>
      <c r="K71" s="10"/>
      <c r="L71" s="10"/>
    </row>
    <row r="72" ht="18" spans="1:14">
      <c r="A72" s="6">
        <v>70</v>
      </c>
      <c r="B72" s="11" t="s">
        <v>164</v>
      </c>
      <c r="C72" s="11" t="s">
        <v>160</v>
      </c>
      <c r="D72" s="12" t="s">
        <v>165</v>
      </c>
      <c r="E72" s="9">
        <f t="shared" si="1"/>
        <v>7</v>
      </c>
      <c r="F72" s="10"/>
      <c r="G72" s="10"/>
      <c r="H72" s="10"/>
      <c r="I72" s="10"/>
      <c r="J72" s="10"/>
      <c r="K72" s="10"/>
      <c r="L72" s="10"/>
    </row>
    <row r="73" ht="53" spans="1:14">
      <c r="A73" s="6">
        <v>71</v>
      </c>
      <c r="B73" s="11" t="s">
        <v>166</v>
      </c>
      <c r="C73" s="11" t="s">
        <v>15</v>
      </c>
      <c r="D73" s="12" t="s">
        <v>167</v>
      </c>
      <c r="E73" s="9">
        <f t="shared" si="1"/>
        <v>13</v>
      </c>
      <c r="F73" s="10"/>
      <c r="G73" s="10"/>
      <c r="H73" s="10">
        <v>1</v>
      </c>
      <c r="I73" s="10"/>
      <c r="J73" s="10"/>
      <c r="K73" s="10"/>
      <c r="L73" s="10"/>
    </row>
    <row r="74" ht="18" spans="1:14">
      <c r="A74" s="6">
        <v>72</v>
      </c>
      <c r="B74" s="11" t="s">
        <v>168</v>
      </c>
      <c r="C74" s="11" t="s">
        <v>160</v>
      </c>
      <c r="D74" s="12" t="s">
        <v>169</v>
      </c>
      <c r="E74" s="9">
        <f t="shared" si="1"/>
        <v>4</v>
      </c>
      <c r="F74" s="10"/>
      <c r="G74" s="10"/>
      <c r="H74" s="10"/>
      <c r="I74" s="10"/>
      <c r="J74" s="10"/>
      <c r="K74" s="10"/>
      <c r="L74" s="10"/>
    </row>
    <row r="75" ht="108" spans="1:14">
      <c r="A75" s="6">
        <v>73</v>
      </c>
      <c r="B75" s="11" t="s">
        <v>170</v>
      </c>
      <c r="C75" s="11" t="s">
        <v>15</v>
      </c>
      <c r="D75" s="12" t="s">
        <v>171</v>
      </c>
      <c r="E75" s="9">
        <f t="shared" si="1"/>
        <v>12</v>
      </c>
      <c r="F75" s="10">
        <v>1</v>
      </c>
      <c r="G75" s="10"/>
      <c r="H75" s="10"/>
      <c r="I75" s="10"/>
      <c r="J75" s="10"/>
      <c r="K75" s="10"/>
      <c r="L75" s="10"/>
      <c r="N75" s="14" t="s">
        <v>172</v>
      </c>
    </row>
    <row r="76" ht="36" spans="1:14">
      <c r="A76" s="6">
        <v>74</v>
      </c>
      <c r="B76" s="11" t="s">
        <v>173</v>
      </c>
      <c r="C76" s="11" t="s">
        <v>160</v>
      </c>
      <c r="D76" s="12" t="s">
        <v>174</v>
      </c>
      <c r="E76" s="9">
        <f t="shared" si="1"/>
        <v>8</v>
      </c>
      <c r="F76" s="10"/>
      <c r="G76" s="10"/>
      <c r="H76" s="10"/>
      <c r="I76" s="10"/>
      <c r="J76" s="10"/>
      <c r="K76" s="10"/>
      <c r="L76" s="10"/>
    </row>
    <row r="77" ht="194" spans="1:14">
      <c r="A77" s="6">
        <v>75</v>
      </c>
      <c r="B77" s="11" t="s">
        <v>175</v>
      </c>
      <c r="C77" s="11" t="s">
        <v>15</v>
      </c>
      <c r="D77" s="15" t="s">
        <v>176</v>
      </c>
      <c r="E77" s="9">
        <f t="shared" si="1"/>
        <v>91</v>
      </c>
      <c r="F77" s="10"/>
      <c r="G77" s="10"/>
      <c r="H77" s="10"/>
      <c r="I77" s="10"/>
      <c r="J77" s="10"/>
      <c r="K77" s="10"/>
      <c r="L77" s="10">
        <v>1</v>
      </c>
    </row>
    <row r="78" ht="18" spans="1:14">
      <c r="A78" s="6">
        <v>76</v>
      </c>
      <c r="B78" s="11" t="s">
        <v>177</v>
      </c>
      <c r="C78" s="11" t="s">
        <v>178</v>
      </c>
      <c r="D78" s="12" t="s">
        <v>179</v>
      </c>
      <c r="E78" s="9">
        <f t="shared" si="1"/>
        <v>6</v>
      </c>
      <c r="F78" s="10"/>
      <c r="G78" s="10"/>
      <c r="H78" s="10"/>
      <c r="I78" s="10"/>
      <c r="J78" s="10"/>
      <c r="K78" s="10"/>
      <c r="L78" s="10"/>
    </row>
    <row r="79" ht="141" spans="1:14">
      <c r="A79" s="6">
        <v>77</v>
      </c>
      <c r="B79" s="11" t="s">
        <v>180</v>
      </c>
      <c r="C79" s="11" t="s">
        <v>15</v>
      </c>
      <c r="D79" s="12" t="s">
        <v>181</v>
      </c>
      <c r="E79" s="9">
        <f t="shared" si="1"/>
        <v>46</v>
      </c>
      <c r="F79" s="10"/>
      <c r="G79" s="10"/>
      <c r="H79" s="10"/>
      <c r="I79" s="10"/>
      <c r="J79" s="10"/>
      <c r="K79" s="10"/>
      <c r="L79" s="10"/>
    </row>
    <row r="80" ht="36" spans="1:14">
      <c r="A80" s="6">
        <v>78</v>
      </c>
      <c r="B80" s="11" t="s">
        <v>182</v>
      </c>
      <c r="C80" s="11" t="s">
        <v>139</v>
      </c>
      <c r="D80" s="12" t="s">
        <v>183</v>
      </c>
      <c r="E80" s="9">
        <f t="shared" si="1"/>
        <v>8</v>
      </c>
      <c r="F80" s="10"/>
      <c r="G80" s="10"/>
      <c r="H80" s="10"/>
      <c r="I80" s="10"/>
      <c r="J80" s="10"/>
      <c r="K80" s="10"/>
      <c r="L80" s="10"/>
    </row>
    <row r="81" ht="18" spans="1:12">
      <c r="A81" s="6">
        <v>79</v>
      </c>
      <c r="B81" s="11" t="s">
        <v>184</v>
      </c>
      <c r="C81" s="11" t="s">
        <v>15</v>
      </c>
      <c r="D81" s="12" t="s">
        <v>185</v>
      </c>
      <c r="E81" s="9">
        <f t="shared" si="1"/>
        <v>6</v>
      </c>
      <c r="F81" s="10"/>
      <c r="G81" s="10"/>
      <c r="H81" s="10">
        <v>1</v>
      </c>
      <c r="I81" s="10"/>
      <c r="J81" s="10"/>
      <c r="K81" s="10"/>
      <c r="L81" s="10"/>
    </row>
    <row r="82" ht="18" spans="1:12">
      <c r="A82" s="6">
        <v>80</v>
      </c>
      <c r="B82" s="11" t="s">
        <v>186</v>
      </c>
      <c r="C82" s="11" t="s">
        <v>139</v>
      </c>
      <c r="D82" s="12" t="s">
        <v>187</v>
      </c>
      <c r="E82" s="9">
        <f t="shared" si="1"/>
        <v>5</v>
      </c>
      <c r="F82" s="10"/>
      <c r="G82" s="10"/>
      <c r="H82" s="10"/>
      <c r="I82" s="10"/>
      <c r="J82" s="10"/>
      <c r="K82" s="10"/>
      <c r="L82" s="10"/>
    </row>
    <row r="83" ht="159" spans="1:12">
      <c r="A83" s="6">
        <v>81</v>
      </c>
      <c r="B83" s="11" t="s">
        <v>188</v>
      </c>
      <c r="C83" s="11" t="s">
        <v>15</v>
      </c>
      <c r="D83" s="12" t="s">
        <v>189</v>
      </c>
      <c r="E83" s="9">
        <f t="shared" si="1"/>
        <v>59</v>
      </c>
      <c r="F83" s="10"/>
      <c r="G83" s="10"/>
      <c r="H83" s="10"/>
      <c r="I83" s="10"/>
      <c r="J83" s="10"/>
      <c r="K83" s="10"/>
      <c r="L83" s="10"/>
    </row>
    <row r="84" ht="18" spans="1:12">
      <c r="A84" s="6">
        <v>82</v>
      </c>
      <c r="B84" s="11" t="s">
        <v>190</v>
      </c>
      <c r="C84" s="11" t="s">
        <v>191</v>
      </c>
      <c r="D84" s="12" t="s">
        <v>192</v>
      </c>
      <c r="E84" s="9">
        <f t="shared" si="1"/>
        <v>3</v>
      </c>
      <c r="F84" s="10"/>
      <c r="G84" s="10"/>
      <c r="H84" s="10"/>
      <c r="I84" s="10"/>
      <c r="J84" s="10"/>
      <c r="K84" s="10"/>
      <c r="L84" s="10"/>
    </row>
    <row r="85" ht="71" spans="1:12">
      <c r="A85" s="6">
        <v>83</v>
      </c>
      <c r="B85" s="11" t="s">
        <v>193</v>
      </c>
      <c r="C85" s="11" t="s">
        <v>15</v>
      </c>
      <c r="D85" s="12" t="s">
        <v>194</v>
      </c>
      <c r="E85" s="9">
        <f t="shared" si="1"/>
        <v>21</v>
      </c>
      <c r="F85" s="10"/>
      <c r="G85" s="10"/>
      <c r="H85" s="10"/>
      <c r="I85" s="10"/>
      <c r="J85" s="10"/>
      <c r="K85" s="10"/>
      <c r="L85" s="10">
        <v>1</v>
      </c>
    </row>
    <row r="86" ht="18" spans="1:12">
      <c r="A86" s="6">
        <v>84</v>
      </c>
      <c r="B86" s="11" t="s">
        <v>195</v>
      </c>
      <c r="C86" s="11" t="s">
        <v>196</v>
      </c>
      <c r="D86" s="12" t="s">
        <v>197</v>
      </c>
      <c r="E86" s="9">
        <f t="shared" si="1"/>
        <v>1</v>
      </c>
      <c r="F86" s="10"/>
      <c r="G86" s="10"/>
      <c r="H86" s="10"/>
      <c r="I86" s="10"/>
      <c r="J86" s="10"/>
      <c r="K86" s="10"/>
      <c r="L86" s="10"/>
    </row>
    <row r="87" ht="53" spans="1:12">
      <c r="A87" s="6">
        <v>85</v>
      </c>
      <c r="B87" s="11" t="s">
        <v>198</v>
      </c>
      <c r="C87" s="11" t="s">
        <v>15</v>
      </c>
      <c r="D87" s="12" t="s">
        <v>199</v>
      </c>
      <c r="E87" s="9">
        <f t="shared" si="1"/>
        <v>16</v>
      </c>
      <c r="F87" s="10">
        <v>1</v>
      </c>
      <c r="G87" s="10"/>
      <c r="H87" s="10"/>
      <c r="I87" s="10"/>
      <c r="J87" s="10"/>
      <c r="K87" s="10"/>
      <c r="L87" s="10"/>
    </row>
    <row r="88" ht="18" spans="1:12">
      <c r="A88" s="6">
        <v>86</v>
      </c>
      <c r="B88" s="11" t="s">
        <v>200</v>
      </c>
      <c r="C88" s="11" t="s">
        <v>196</v>
      </c>
      <c r="D88" s="12" t="s">
        <v>201</v>
      </c>
      <c r="E88" s="9">
        <f t="shared" si="1"/>
        <v>2</v>
      </c>
      <c r="F88" s="10"/>
      <c r="G88" s="10"/>
      <c r="H88" s="10"/>
      <c r="I88" s="10"/>
      <c r="J88" s="10"/>
      <c r="K88" s="10"/>
      <c r="L88" s="10"/>
    </row>
    <row r="89" ht="36" spans="1:12">
      <c r="A89" s="6">
        <v>87</v>
      </c>
      <c r="B89" s="11" t="s">
        <v>202</v>
      </c>
      <c r="C89" s="11" t="s">
        <v>15</v>
      </c>
      <c r="D89" s="12" t="s">
        <v>203</v>
      </c>
      <c r="E89" s="9">
        <f t="shared" si="1"/>
        <v>11</v>
      </c>
      <c r="F89" s="10"/>
      <c r="G89" s="10"/>
      <c r="H89" s="10"/>
      <c r="I89" s="10"/>
      <c r="J89" s="10"/>
      <c r="K89" s="10"/>
      <c r="L89" s="10">
        <v>1</v>
      </c>
    </row>
    <row r="90" ht="18" spans="1:12">
      <c r="A90" s="6">
        <v>88</v>
      </c>
      <c r="B90" s="11" t="s">
        <v>204</v>
      </c>
      <c r="C90" s="11" t="s">
        <v>23</v>
      </c>
      <c r="D90" s="12" t="s">
        <v>205</v>
      </c>
      <c r="E90" s="9">
        <f t="shared" si="1"/>
        <v>5</v>
      </c>
      <c r="F90" s="10"/>
      <c r="G90" s="10"/>
      <c r="H90" s="10"/>
      <c r="I90" s="10"/>
      <c r="J90" s="10"/>
      <c r="K90" s="10"/>
      <c r="L90" s="10"/>
    </row>
    <row r="91" ht="282" spans="1:12">
      <c r="A91" s="6">
        <v>89</v>
      </c>
      <c r="B91" s="11" t="s">
        <v>206</v>
      </c>
      <c r="C91" s="11" t="s">
        <v>15</v>
      </c>
      <c r="D91" s="12" t="s">
        <v>207</v>
      </c>
      <c r="E91" s="9">
        <f t="shared" si="1"/>
        <v>104</v>
      </c>
      <c r="F91" s="10"/>
      <c r="G91" s="10"/>
      <c r="H91" s="10"/>
      <c r="I91" s="10"/>
      <c r="J91" s="10"/>
      <c r="K91" s="10"/>
      <c r="L91" s="10">
        <v>1</v>
      </c>
    </row>
    <row r="92" ht="18" spans="1:12">
      <c r="A92" s="6">
        <v>90</v>
      </c>
      <c r="B92" s="11" t="s">
        <v>208</v>
      </c>
      <c r="C92" s="11" t="s">
        <v>209</v>
      </c>
      <c r="D92" s="12" t="s">
        <v>210</v>
      </c>
      <c r="E92" s="9">
        <f t="shared" si="1"/>
        <v>2</v>
      </c>
      <c r="F92" s="10"/>
      <c r="G92" s="10"/>
      <c r="H92" s="10"/>
      <c r="I92" s="10"/>
      <c r="J92" s="10"/>
      <c r="K92" s="10"/>
      <c r="L92" s="10"/>
    </row>
    <row r="93" ht="36" spans="1:12">
      <c r="A93" s="6">
        <v>91</v>
      </c>
      <c r="B93" s="11" t="s">
        <v>211</v>
      </c>
      <c r="C93" s="11" t="s">
        <v>15</v>
      </c>
      <c r="D93" s="12" t="s">
        <v>212</v>
      </c>
      <c r="E93" s="9">
        <f t="shared" si="1"/>
        <v>8</v>
      </c>
      <c r="F93" s="10">
        <v>1</v>
      </c>
      <c r="G93" s="10"/>
      <c r="H93" s="10"/>
      <c r="I93" s="10"/>
      <c r="J93" s="10"/>
      <c r="K93" s="10"/>
      <c r="L93" s="10"/>
    </row>
    <row r="94" ht="71" spans="1:12">
      <c r="A94" s="6">
        <v>92</v>
      </c>
      <c r="B94" s="11" t="s">
        <v>213</v>
      </c>
      <c r="C94" s="11" t="s">
        <v>209</v>
      </c>
      <c r="D94" s="12" t="s">
        <v>214</v>
      </c>
      <c r="E94" s="9">
        <f t="shared" si="1"/>
        <v>26</v>
      </c>
      <c r="F94" s="10"/>
      <c r="G94" s="10"/>
      <c r="H94" s="10"/>
      <c r="I94" s="10"/>
      <c r="J94" s="10"/>
      <c r="K94" s="10"/>
      <c r="L94" s="10"/>
    </row>
    <row r="95" ht="18" spans="1:12">
      <c r="A95" s="6">
        <v>93</v>
      </c>
      <c r="B95" s="11" t="s">
        <v>215</v>
      </c>
      <c r="C95" s="11" t="s">
        <v>15</v>
      </c>
      <c r="D95" s="12" t="s">
        <v>216</v>
      </c>
      <c r="E95" s="9">
        <f t="shared" si="1"/>
        <v>2</v>
      </c>
      <c r="F95" s="10"/>
      <c r="G95" s="10"/>
      <c r="H95" s="10"/>
      <c r="I95" s="10"/>
      <c r="J95" s="10"/>
      <c r="K95" s="10"/>
      <c r="L95" s="10"/>
    </row>
    <row r="96" ht="18" spans="1:12">
      <c r="A96" s="6">
        <v>94</v>
      </c>
      <c r="B96" s="11" t="s">
        <v>217</v>
      </c>
      <c r="C96" s="11" t="s">
        <v>218</v>
      </c>
      <c r="D96" s="12" t="s">
        <v>219</v>
      </c>
      <c r="E96" s="9">
        <f t="shared" si="1"/>
        <v>5</v>
      </c>
      <c r="F96" s="10"/>
      <c r="G96" s="10"/>
      <c r="H96" s="10"/>
      <c r="I96" s="10"/>
      <c r="J96" s="10"/>
      <c r="K96" s="10"/>
      <c r="L96" s="10"/>
    </row>
    <row r="97" ht="88" spans="1:12">
      <c r="A97" s="6">
        <v>95</v>
      </c>
      <c r="B97" s="11" t="s">
        <v>220</v>
      </c>
      <c r="C97" s="11" t="s">
        <v>15</v>
      </c>
      <c r="D97" s="12" t="s">
        <v>221</v>
      </c>
      <c r="E97" s="9">
        <f t="shared" si="1"/>
        <v>28</v>
      </c>
      <c r="F97" s="10">
        <v>1</v>
      </c>
      <c r="G97" s="10"/>
      <c r="H97" s="10"/>
      <c r="I97" s="10"/>
      <c r="J97" s="10"/>
      <c r="K97" s="10"/>
      <c r="L97" s="10"/>
    </row>
    <row r="98" ht="71" spans="1:12">
      <c r="A98" s="6">
        <v>96</v>
      </c>
      <c r="B98" s="11" t="s">
        <v>222</v>
      </c>
      <c r="C98" s="11" t="s">
        <v>218</v>
      </c>
      <c r="D98" s="12" t="s">
        <v>223</v>
      </c>
      <c r="E98" s="9">
        <f t="shared" si="1"/>
        <v>21</v>
      </c>
      <c r="F98" s="10"/>
      <c r="G98" s="10"/>
      <c r="H98" s="10"/>
      <c r="I98" s="10"/>
      <c r="J98" s="10"/>
      <c r="K98" s="10"/>
      <c r="L98" s="10"/>
    </row>
    <row r="99" ht="88" spans="1:12">
      <c r="A99" s="6">
        <v>97</v>
      </c>
      <c r="B99" s="11" t="s">
        <v>224</v>
      </c>
      <c r="C99" s="11" t="s">
        <v>15</v>
      </c>
      <c r="D99" s="12" t="s">
        <v>225</v>
      </c>
      <c r="E99" s="9">
        <f t="shared" si="1"/>
        <v>24</v>
      </c>
      <c r="F99" s="10">
        <v>1</v>
      </c>
      <c r="G99" s="16"/>
      <c r="H99" s="10"/>
      <c r="I99" s="10"/>
      <c r="J99" s="10"/>
      <c r="K99" s="10"/>
      <c r="L99" s="10"/>
    </row>
    <row r="100" ht="18" spans="1:12">
      <c r="A100" s="6">
        <v>98</v>
      </c>
      <c r="B100" s="11" t="s">
        <v>226</v>
      </c>
      <c r="C100" s="11" t="s">
        <v>218</v>
      </c>
      <c r="D100" s="12" t="s">
        <v>227</v>
      </c>
      <c r="E100" s="9">
        <f t="shared" si="1"/>
        <v>3</v>
      </c>
      <c r="F100" s="10"/>
      <c r="G100" s="10"/>
      <c r="H100" s="10"/>
      <c r="I100" s="10"/>
      <c r="J100" s="10"/>
      <c r="K100" s="10"/>
      <c r="L100" s="10"/>
    </row>
    <row r="101" ht="106" spans="1:12">
      <c r="A101" s="6">
        <v>99</v>
      </c>
      <c r="B101" s="11" t="s">
        <v>228</v>
      </c>
      <c r="C101" s="11" t="s">
        <v>15</v>
      </c>
      <c r="D101" s="12" t="s">
        <v>229</v>
      </c>
      <c r="E101" s="9">
        <f t="shared" si="1"/>
        <v>39</v>
      </c>
      <c r="F101" s="10"/>
      <c r="G101" s="10"/>
      <c r="H101" s="10"/>
      <c r="I101" s="10"/>
      <c r="J101" s="10"/>
      <c r="K101" s="10"/>
      <c r="L101" s="10"/>
    </row>
    <row r="102" ht="18" spans="1:12">
      <c r="A102" s="6">
        <v>100</v>
      </c>
      <c r="B102" s="11" t="s">
        <v>230</v>
      </c>
      <c r="C102" s="11" t="s">
        <v>231</v>
      </c>
      <c r="D102" s="12" t="s">
        <v>232</v>
      </c>
      <c r="E102" s="9">
        <f t="shared" si="1"/>
        <v>3</v>
      </c>
      <c r="F102" s="10"/>
      <c r="G102" s="10"/>
      <c r="H102" s="10"/>
      <c r="I102" s="10"/>
      <c r="J102" s="10"/>
      <c r="K102" s="10"/>
      <c r="L102" s="10"/>
    </row>
    <row r="103" ht="53" spans="1:12">
      <c r="A103" s="6">
        <v>101</v>
      </c>
      <c r="B103" s="11" t="s">
        <v>233</v>
      </c>
      <c r="C103" s="11" t="s">
        <v>15</v>
      </c>
      <c r="D103" s="12" t="s">
        <v>234</v>
      </c>
      <c r="E103" s="9">
        <f t="shared" si="1"/>
        <v>14</v>
      </c>
      <c r="F103" s="10"/>
      <c r="G103" s="10"/>
      <c r="H103" s="10">
        <v>1</v>
      </c>
      <c r="I103" s="10"/>
      <c r="J103" s="10"/>
      <c r="K103" s="10"/>
      <c r="L103" s="10"/>
    </row>
    <row r="104" ht="18" spans="1:12">
      <c r="A104" s="6">
        <v>102</v>
      </c>
      <c r="B104" s="11" t="s">
        <v>235</v>
      </c>
      <c r="C104" s="11" t="s">
        <v>231</v>
      </c>
      <c r="D104" s="12" t="s">
        <v>236</v>
      </c>
      <c r="E104" s="9">
        <f t="shared" si="1"/>
        <v>5</v>
      </c>
      <c r="F104" s="10"/>
      <c r="G104" s="10"/>
      <c r="H104" s="10"/>
      <c r="I104" s="10"/>
      <c r="J104" s="10"/>
      <c r="K104" s="10"/>
      <c r="L104" s="10"/>
    </row>
    <row r="105" ht="36" spans="1:12">
      <c r="A105" s="6">
        <v>103</v>
      </c>
      <c r="B105" s="11" t="s">
        <v>237</v>
      </c>
      <c r="C105" s="11" t="s">
        <v>15</v>
      </c>
      <c r="D105" s="12" t="s">
        <v>238</v>
      </c>
      <c r="E105" s="9">
        <f t="shared" si="1"/>
        <v>11</v>
      </c>
      <c r="F105" s="10"/>
      <c r="G105" s="10"/>
      <c r="H105" s="10"/>
      <c r="I105" s="10"/>
      <c r="J105" s="10"/>
      <c r="K105" s="10"/>
      <c r="L105" s="10">
        <v>1</v>
      </c>
    </row>
    <row r="106" ht="36" spans="1:12">
      <c r="A106" s="6">
        <v>104</v>
      </c>
      <c r="B106" s="11" t="s">
        <v>239</v>
      </c>
      <c r="C106" s="11" t="s">
        <v>240</v>
      </c>
      <c r="D106" s="12" t="s">
        <v>241</v>
      </c>
      <c r="E106" s="9">
        <f t="shared" si="1"/>
        <v>14</v>
      </c>
      <c r="F106" s="10"/>
      <c r="G106" s="10"/>
      <c r="H106" s="10"/>
      <c r="I106" s="10"/>
      <c r="J106" s="10"/>
      <c r="K106" s="10"/>
      <c r="L106" s="10"/>
    </row>
    <row r="107" ht="88" spans="1:12">
      <c r="A107" s="6">
        <v>105</v>
      </c>
      <c r="B107" s="11" t="s">
        <v>242</v>
      </c>
      <c r="C107" s="11" t="s">
        <v>15</v>
      </c>
      <c r="D107" s="12" t="s">
        <v>243</v>
      </c>
      <c r="E107" s="9">
        <f t="shared" si="1"/>
        <v>27</v>
      </c>
      <c r="F107" s="10">
        <v>1</v>
      </c>
      <c r="G107" s="10"/>
      <c r="H107" s="10"/>
      <c r="I107" s="10"/>
      <c r="J107" s="10"/>
      <c r="K107" s="10"/>
      <c r="L107" s="10"/>
    </row>
    <row r="108" ht="18" spans="1:12">
      <c r="A108" s="6">
        <v>106</v>
      </c>
      <c r="B108" s="11" t="s">
        <v>244</v>
      </c>
      <c r="C108" s="11" t="s">
        <v>240</v>
      </c>
      <c r="D108" s="12" t="s">
        <v>245</v>
      </c>
      <c r="E108" s="9">
        <f t="shared" si="1"/>
        <v>2</v>
      </c>
      <c r="F108" s="10"/>
      <c r="G108" s="10"/>
      <c r="H108" s="10"/>
      <c r="I108" s="10"/>
      <c r="J108" s="10"/>
      <c r="K108" s="10"/>
      <c r="L108" s="10"/>
    </row>
    <row r="109" ht="88" spans="1:12">
      <c r="A109" s="6">
        <v>107</v>
      </c>
      <c r="B109" s="11" t="s">
        <v>246</v>
      </c>
      <c r="C109" s="11" t="s">
        <v>15</v>
      </c>
      <c r="D109" s="12" t="s">
        <v>247</v>
      </c>
      <c r="E109" s="9">
        <f t="shared" si="1"/>
        <v>23</v>
      </c>
      <c r="F109" s="10"/>
      <c r="G109" s="10"/>
      <c r="H109" s="10"/>
      <c r="I109" s="10"/>
      <c r="J109" s="10"/>
      <c r="K109" s="10"/>
      <c r="L109" s="10">
        <v>1</v>
      </c>
    </row>
    <row r="110" ht="36" spans="1:12">
      <c r="A110" s="6">
        <v>108</v>
      </c>
      <c r="B110" s="11" t="s">
        <v>248</v>
      </c>
      <c r="C110" s="11" t="s">
        <v>249</v>
      </c>
      <c r="D110" s="12" t="s">
        <v>250</v>
      </c>
      <c r="E110" s="9">
        <f t="shared" si="1"/>
        <v>11</v>
      </c>
      <c r="F110" s="10"/>
      <c r="G110" s="10"/>
      <c r="H110" s="10"/>
      <c r="I110" s="10"/>
      <c r="J110" s="10"/>
      <c r="K110" s="10"/>
      <c r="L110" s="10"/>
    </row>
    <row r="111" ht="53" spans="1:12">
      <c r="A111" s="6">
        <v>109</v>
      </c>
      <c r="B111" s="11" t="s">
        <v>251</v>
      </c>
      <c r="C111" s="11" t="s">
        <v>15</v>
      </c>
      <c r="D111" s="12" t="s">
        <v>252</v>
      </c>
      <c r="E111" s="9">
        <f t="shared" si="1"/>
        <v>23</v>
      </c>
      <c r="F111" s="10">
        <v>1</v>
      </c>
      <c r="G111" s="10"/>
      <c r="H111" s="10"/>
      <c r="I111" s="10"/>
      <c r="J111" s="10"/>
      <c r="K111" s="10"/>
      <c r="L111" s="10"/>
    </row>
    <row r="112" ht="18" spans="1:12">
      <c r="A112" s="6">
        <v>110</v>
      </c>
      <c r="B112" s="11" t="s">
        <v>253</v>
      </c>
      <c r="C112" s="11" t="s">
        <v>249</v>
      </c>
      <c r="D112" s="12" t="s">
        <v>254</v>
      </c>
      <c r="E112" s="9">
        <f t="shared" si="1"/>
        <v>4</v>
      </c>
      <c r="F112" s="10"/>
      <c r="G112" s="10"/>
      <c r="H112" s="10"/>
      <c r="I112" s="10"/>
      <c r="J112" s="10"/>
      <c r="K112" s="10"/>
      <c r="L112" s="10"/>
    </row>
    <row r="113" ht="53" spans="1:14">
      <c r="A113" s="6">
        <v>111</v>
      </c>
      <c r="B113" s="11" t="s">
        <v>255</v>
      </c>
      <c r="C113" s="11" t="s">
        <v>15</v>
      </c>
      <c r="D113" s="12" t="s">
        <v>256</v>
      </c>
      <c r="E113" s="9">
        <f t="shared" si="1"/>
        <v>23</v>
      </c>
      <c r="F113" s="10"/>
      <c r="G113" s="10"/>
      <c r="H113" s="10"/>
      <c r="I113" s="10"/>
      <c r="J113" s="10"/>
      <c r="K113" s="10"/>
      <c r="L113" s="10">
        <v>1</v>
      </c>
    </row>
    <row r="114" ht="18" spans="1:14">
      <c r="A114" s="6">
        <v>112</v>
      </c>
      <c r="B114" s="11" t="s">
        <v>257</v>
      </c>
      <c r="C114" s="11" t="s">
        <v>160</v>
      </c>
      <c r="D114" s="12" t="s">
        <v>258</v>
      </c>
      <c r="E114" s="9">
        <f t="shared" si="1"/>
        <v>1</v>
      </c>
      <c r="F114" s="10"/>
      <c r="G114" s="10"/>
      <c r="H114" s="10"/>
      <c r="I114" s="10"/>
      <c r="J114" s="10"/>
      <c r="K114" s="10"/>
      <c r="L114" s="10"/>
    </row>
    <row r="115" ht="53" spans="1:14">
      <c r="A115" s="6">
        <v>113</v>
      </c>
      <c r="B115" s="11" t="s">
        <v>259</v>
      </c>
      <c r="C115" s="11" t="s">
        <v>15</v>
      </c>
      <c r="D115" s="12" t="s">
        <v>260</v>
      </c>
      <c r="E115" s="9">
        <f t="shared" si="1"/>
        <v>14</v>
      </c>
      <c r="F115" s="10"/>
      <c r="G115" s="10">
        <v>1</v>
      </c>
      <c r="H115" s="10"/>
      <c r="I115" s="10"/>
      <c r="J115" s="10"/>
      <c r="K115" s="10"/>
      <c r="L115" s="10"/>
    </row>
    <row r="116" ht="18" spans="1:14">
      <c r="A116" s="6">
        <v>114</v>
      </c>
      <c r="B116" s="11" t="s">
        <v>261</v>
      </c>
      <c r="C116" s="11" t="s">
        <v>160</v>
      </c>
      <c r="D116" s="12" t="s">
        <v>30</v>
      </c>
      <c r="E116" s="9">
        <f t="shared" si="1"/>
        <v>1</v>
      </c>
      <c r="F116" s="10"/>
      <c r="G116" s="10"/>
      <c r="H116" s="10"/>
      <c r="I116" s="10"/>
      <c r="J116" s="10"/>
      <c r="K116" s="10"/>
      <c r="L116" s="10"/>
    </row>
    <row r="117" ht="18" spans="1:14">
      <c r="A117" s="6">
        <v>115</v>
      </c>
      <c r="B117" s="11" t="s">
        <v>262</v>
      </c>
      <c r="C117" s="11" t="s">
        <v>15</v>
      </c>
      <c r="D117" s="12" t="s">
        <v>263</v>
      </c>
      <c r="E117" s="9">
        <f t="shared" si="1"/>
        <v>4</v>
      </c>
      <c r="F117" s="10"/>
      <c r="G117" s="10"/>
      <c r="H117" s="10">
        <v>1</v>
      </c>
      <c r="I117" s="10"/>
      <c r="J117" s="10"/>
      <c r="K117" s="10"/>
      <c r="L117" s="10"/>
    </row>
    <row r="118" ht="18" spans="1:14">
      <c r="A118" s="6">
        <v>116</v>
      </c>
      <c r="B118" s="11" t="s">
        <v>264</v>
      </c>
      <c r="C118" s="11" t="s">
        <v>160</v>
      </c>
      <c r="D118" s="12" t="s">
        <v>265</v>
      </c>
      <c r="E118" s="9">
        <f t="shared" si="1"/>
        <v>2</v>
      </c>
      <c r="F118" s="10"/>
      <c r="G118" s="10"/>
      <c r="H118" s="10"/>
      <c r="I118" s="10"/>
      <c r="J118" s="10"/>
      <c r="K118" s="10"/>
      <c r="L118" s="10"/>
    </row>
    <row r="119" ht="124" spans="1:14">
      <c r="A119" s="6">
        <v>117</v>
      </c>
      <c r="B119" s="11" t="s">
        <v>266</v>
      </c>
      <c r="C119" s="11" t="s">
        <v>15</v>
      </c>
      <c r="D119" s="12" t="s">
        <v>267</v>
      </c>
      <c r="E119" s="9">
        <f t="shared" si="1"/>
        <v>46</v>
      </c>
      <c r="F119" s="10"/>
      <c r="G119" s="10">
        <v>1</v>
      </c>
      <c r="H119" s="10"/>
      <c r="I119" s="10"/>
      <c r="J119" s="10"/>
      <c r="K119" s="10"/>
      <c r="L119" s="10"/>
      <c r="N119" s="17" t="s">
        <v>268</v>
      </c>
    </row>
    <row r="120" ht="18" spans="1:14">
      <c r="A120" s="6">
        <v>118</v>
      </c>
      <c r="B120" s="11" t="s">
        <v>269</v>
      </c>
      <c r="C120" s="11" t="s">
        <v>270</v>
      </c>
      <c r="D120" s="12" t="s">
        <v>271</v>
      </c>
      <c r="E120" s="9">
        <f t="shared" si="1"/>
        <v>5</v>
      </c>
      <c r="F120" s="10"/>
      <c r="G120" s="10"/>
      <c r="H120" s="10"/>
      <c r="I120" s="10"/>
      <c r="J120" s="10"/>
      <c r="K120" s="10"/>
      <c r="L120" s="10"/>
    </row>
    <row r="121" ht="53" spans="1:14">
      <c r="A121" s="6">
        <v>119</v>
      </c>
      <c r="B121" s="11" t="s">
        <v>272</v>
      </c>
      <c r="C121" s="11" t="s">
        <v>15</v>
      </c>
      <c r="D121" s="12" t="s">
        <v>273</v>
      </c>
      <c r="E121" s="9">
        <f t="shared" si="1"/>
        <v>15</v>
      </c>
      <c r="F121" s="10"/>
      <c r="G121" s="10"/>
      <c r="H121" s="10"/>
      <c r="I121" s="10"/>
      <c r="J121" s="10"/>
      <c r="K121" s="10"/>
      <c r="L121" s="10">
        <v>1</v>
      </c>
    </row>
    <row r="122" ht="18" spans="1:14">
      <c r="A122" s="6">
        <v>120</v>
      </c>
      <c r="B122" s="11" t="s">
        <v>274</v>
      </c>
      <c r="C122" s="11" t="s">
        <v>160</v>
      </c>
      <c r="D122" s="12" t="s">
        <v>275</v>
      </c>
      <c r="E122" s="9">
        <f t="shared" si="1"/>
        <v>2</v>
      </c>
      <c r="F122" s="10"/>
      <c r="G122" s="10"/>
      <c r="H122" s="10"/>
      <c r="I122" s="10"/>
      <c r="J122" s="10"/>
      <c r="K122" s="10"/>
      <c r="L122" s="10"/>
    </row>
    <row r="123" ht="18" spans="1:14">
      <c r="A123" s="6">
        <v>121</v>
      </c>
      <c r="B123" s="11" t="s">
        <v>276</v>
      </c>
      <c r="C123" s="11" t="s">
        <v>15</v>
      </c>
      <c r="D123" s="12" t="s">
        <v>277</v>
      </c>
      <c r="E123" s="9">
        <f t="shared" si="1"/>
        <v>2</v>
      </c>
      <c r="F123" s="10">
        <v>1</v>
      </c>
      <c r="G123" s="10"/>
      <c r="H123" s="10"/>
      <c r="I123" s="10"/>
      <c r="J123" s="10"/>
      <c r="K123" s="10"/>
      <c r="L123" s="10"/>
    </row>
    <row r="124" ht="18" spans="1:14">
      <c r="A124" s="6">
        <v>122</v>
      </c>
      <c r="B124" s="11" t="s">
        <v>278</v>
      </c>
      <c r="C124" s="11" t="s">
        <v>160</v>
      </c>
      <c r="D124" s="12" t="s">
        <v>279</v>
      </c>
      <c r="E124" s="9">
        <f t="shared" si="1"/>
        <v>7</v>
      </c>
      <c r="F124" s="10"/>
      <c r="G124" s="10"/>
      <c r="H124" s="10"/>
      <c r="I124" s="10"/>
      <c r="J124" s="10"/>
      <c r="K124" s="10"/>
      <c r="L124" s="10"/>
    </row>
    <row r="125" ht="159" spans="1:14">
      <c r="A125" s="6">
        <v>123</v>
      </c>
      <c r="B125" s="11" t="s">
        <v>280</v>
      </c>
      <c r="C125" s="11" t="s">
        <v>15</v>
      </c>
      <c r="D125" s="12" t="s">
        <v>281</v>
      </c>
      <c r="E125" s="9">
        <f t="shared" si="1"/>
        <v>54</v>
      </c>
      <c r="F125" s="10"/>
      <c r="G125" s="10"/>
      <c r="H125" s="10"/>
      <c r="I125" s="10"/>
      <c r="J125" s="10"/>
      <c r="K125" s="10"/>
      <c r="L125" s="10">
        <v>1</v>
      </c>
    </row>
    <row r="126" ht="88" spans="1:14">
      <c r="A126" s="6">
        <v>124</v>
      </c>
      <c r="B126" s="11" t="s">
        <v>282</v>
      </c>
      <c r="C126" s="11" t="s">
        <v>73</v>
      </c>
      <c r="D126" s="12" t="s">
        <v>283</v>
      </c>
      <c r="E126" s="9">
        <f t="shared" si="1"/>
        <v>27</v>
      </c>
      <c r="F126" s="10"/>
      <c r="G126" s="10"/>
      <c r="H126" s="10"/>
      <c r="I126" s="10"/>
      <c r="J126" s="10"/>
      <c r="K126" s="10"/>
      <c r="L126" s="10"/>
    </row>
    <row r="127" ht="71" spans="1:14">
      <c r="A127" s="6">
        <v>125</v>
      </c>
      <c r="B127" s="11" t="s">
        <v>284</v>
      </c>
      <c r="C127" s="11" t="s">
        <v>15</v>
      </c>
      <c r="D127" s="12" t="s">
        <v>285</v>
      </c>
      <c r="E127" s="9">
        <f t="shared" si="1"/>
        <v>23</v>
      </c>
      <c r="F127" s="10"/>
      <c r="G127" s="10"/>
      <c r="H127" s="10"/>
      <c r="I127" s="10"/>
      <c r="J127" s="10"/>
      <c r="K127" s="10"/>
      <c r="L127" s="10"/>
    </row>
    <row r="128" ht="18" spans="1:14">
      <c r="A128" s="6">
        <v>126</v>
      </c>
      <c r="B128" s="11" t="s">
        <v>286</v>
      </c>
      <c r="C128" s="11" t="s">
        <v>287</v>
      </c>
      <c r="D128" s="12" t="s">
        <v>288</v>
      </c>
      <c r="E128" s="9">
        <f t="shared" si="1"/>
        <v>1</v>
      </c>
      <c r="F128" s="10"/>
      <c r="G128" s="10"/>
      <c r="H128" s="10"/>
      <c r="I128" s="10"/>
      <c r="J128" s="10"/>
      <c r="K128" s="10"/>
      <c r="L128" s="10"/>
    </row>
    <row r="129" ht="18" spans="1:12">
      <c r="A129" s="6">
        <v>127</v>
      </c>
      <c r="B129" s="11" t="s">
        <v>289</v>
      </c>
      <c r="C129" s="11" t="s">
        <v>15</v>
      </c>
      <c r="D129" s="12" t="s">
        <v>290</v>
      </c>
      <c r="E129" s="9">
        <f t="shared" si="1"/>
        <v>3</v>
      </c>
      <c r="F129" s="10"/>
      <c r="G129" s="10"/>
      <c r="H129" s="10"/>
      <c r="I129" s="10"/>
      <c r="J129" s="10"/>
      <c r="K129" s="10"/>
      <c r="L129" s="10"/>
    </row>
    <row r="130" ht="18" spans="1:12">
      <c r="A130" s="6">
        <v>128</v>
      </c>
      <c r="B130" s="11" t="s">
        <v>291</v>
      </c>
      <c r="C130" s="11" t="s">
        <v>287</v>
      </c>
      <c r="D130" s="12" t="s">
        <v>292</v>
      </c>
      <c r="E130" s="9">
        <f t="shared" si="1"/>
        <v>3</v>
      </c>
      <c r="F130" s="10"/>
      <c r="G130" s="10"/>
      <c r="H130" s="10"/>
      <c r="I130" s="10"/>
      <c r="J130" s="10"/>
      <c r="K130" s="10"/>
      <c r="L130" s="10"/>
    </row>
    <row r="131" ht="88" spans="1:12">
      <c r="A131" s="6">
        <v>129</v>
      </c>
      <c r="B131" s="11" t="s">
        <v>293</v>
      </c>
      <c r="C131" s="11" t="s">
        <v>15</v>
      </c>
      <c r="D131" s="12" t="s">
        <v>294</v>
      </c>
      <c r="E131" s="9">
        <f t="shared" si="1"/>
        <v>28</v>
      </c>
      <c r="F131" s="10">
        <v>1</v>
      </c>
      <c r="G131" s="10"/>
      <c r="H131" s="10"/>
      <c r="I131" s="10"/>
      <c r="J131" s="10"/>
      <c r="K131" s="10"/>
      <c r="L131" s="10"/>
    </row>
    <row r="132" ht="18" spans="1:12">
      <c r="A132" s="6">
        <v>130</v>
      </c>
      <c r="B132" s="11" t="s">
        <v>295</v>
      </c>
      <c r="C132" s="11" t="s">
        <v>287</v>
      </c>
      <c r="D132" s="12" t="s">
        <v>296</v>
      </c>
      <c r="E132" s="9">
        <f t="shared" ref="E132:E195" si="2">LEN(D132)-LEN(SUBSTITUTE(D132," ",""))+1</f>
        <v>7</v>
      </c>
      <c r="F132" s="10"/>
      <c r="G132" s="10"/>
      <c r="H132" s="10"/>
      <c r="I132" s="10"/>
      <c r="J132" s="10"/>
      <c r="K132" s="10"/>
      <c r="L132" s="10"/>
    </row>
    <row r="133" ht="36" spans="1:12">
      <c r="A133" s="6">
        <v>131</v>
      </c>
      <c r="B133" s="11" t="s">
        <v>297</v>
      </c>
      <c r="C133" s="11" t="s">
        <v>15</v>
      </c>
      <c r="D133" s="12" t="s">
        <v>298</v>
      </c>
      <c r="E133" s="9">
        <f t="shared" si="2"/>
        <v>7</v>
      </c>
      <c r="F133" s="10">
        <v>1</v>
      </c>
      <c r="G133" s="10"/>
      <c r="H133" s="10"/>
      <c r="I133" s="10"/>
      <c r="J133" s="10"/>
      <c r="K133" s="10"/>
      <c r="L133" s="10"/>
    </row>
    <row r="134" ht="53" spans="1:12">
      <c r="A134" s="6">
        <v>132</v>
      </c>
      <c r="B134" s="11" t="s">
        <v>299</v>
      </c>
      <c r="C134" s="11" t="s">
        <v>287</v>
      </c>
      <c r="D134" s="12" t="s">
        <v>300</v>
      </c>
      <c r="E134" s="9">
        <f t="shared" si="2"/>
        <v>12</v>
      </c>
      <c r="F134" s="10"/>
      <c r="G134" s="10"/>
      <c r="H134" s="10"/>
      <c r="I134" s="10"/>
      <c r="J134" s="10"/>
      <c r="K134" s="10"/>
      <c r="L134" s="10"/>
    </row>
    <row r="135" ht="88" spans="1:12">
      <c r="A135" s="6">
        <v>133</v>
      </c>
      <c r="B135" s="11" t="s">
        <v>301</v>
      </c>
      <c r="C135" s="11" t="s">
        <v>15</v>
      </c>
      <c r="D135" s="12" t="s">
        <v>302</v>
      </c>
      <c r="E135" s="9">
        <f t="shared" si="2"/>
        <v>33</v>
      </c>
      <c r="F135" s="10"/>
      <c r="G135" s="10"/>
      <c r="H135" s="10">
        <v>1</v>
      </c>
      <c r="I135" s="10"/>
      <c r="J135" s="10"/>
      <c r="K135" s="10"/>
      <c r="L135" s="10"/>
    </row>
    <row r="136" ht="18" spans="1:12">
      <c r="A136" s="6">
        <v>134</v>
      </c>
      <c r="B136" s="11" t="s">
        <v>303</v>
      </c>
      <c r="C136" s="11" t="s">
        <v>287</v>
      </c>
      <c r="D136" s="12" t="s">
        <v>304</v>
      </c>
      <c r="E136" s="9">
        <f t="shared" si="2"/>
        <v>4</v>
      </c>
      <c r="F136" s="10"/>
      <c r="G136" s="10"/>
      <c r="H136" s="10"/>
      <c r="I136" s="10"/>
      <c r="J136" s="10"/>
      <c r="K136" s="10"/>
      <c r="L136" s="10"/>
    </row>
    <row r="137" ht="36" spans="1:12">
      <c r="A137" s="6">
        <v>135</v>
      </c>
      <c r="B137" s="11" t="s">
        <v>305</v>
      </c>
      <c r="C137" s="11" t="s">
        <v>15</v>
      </c>
      <c r="D137" s="12" t="s">
        <v>306</v>
      </c>
      <c r="E137" s="9">
        <f t="shared" si="2"/>
        <v>10</v>
      </c>
      <c r="F137" s="10">
        <v>1</v>
      </c>
      <c r="G137" s="10"/>
      <c r="H137" s="10"/>
      <c r="I137" s="10"/>
      <c r="J137" s="10"/>
      <c r="K137" s="10"/>
      <c r="L137" s="10"/>
    </row>
    <row r="138" ht="18" spans="1:12">
      <c r="A138" s="6">
        <v>136</v>
      </c>
      <c r="B138" s="11" t="s">
        <v>307</v>
      </c>
      <c r="C138" s="11" t="s">
        <v>287</v>
      </c>
      <c r="D138" s="12" t="s">
        <v>308</v>
      </c>
      <c r="E138" s="9">
        <f t="shared" si="2"/>
        <v>4</v>
      </c>
      <c r="F138" s="10"/>
      <c r="G138" s="10"/>
      <c r="H138" s="10"/>
      <c r="I138" s="10"/>
      <c r="J138" s="10"/>
      <c r="K138" s="10"/>
      <c r="L138" s="10"/>
    </row>
    <row r="139" ht="212" spans="1:12">
      <c r="A139" s="6">
        <v>137</v>
      </c>
      <c r="B139" s="11" t="s">
        <v>309</v>
      </c>
      <c r="C139" s="11" t="s">
        <v>15</v>
      </c>
      <c r="D139" s="12" t="s">
        <v>310</v>
      </c>
      <c r="E139" s="9">
        <f t="shared" si="2"/>
        <v>86</v>
      </c>
      <c r="F139" s="10"/>
      <c r="G139" s="10"/>
      <c r="H139" s="10"/>
      <c r="I139" s="10"/>
      <c r="J139" s="10"/>
      <c r="K139" s="10">
        <v>1</v>
      </c>
      <c r="L139" s="10"/>
    </row>
    <row r="140" ht="18" spans="1:12">
      <c r="A140" s="6">
        <v>138</v>
      </c>
      <c r="B140" s="11" t="s">
        <v>311</v>
      </c>
      <c r="C140" s="11" t="s">
        <v>312</v>
      </c>
      <c r="D140" s="12" t="s">
        <v>313</v>
      </c>
      <c r="E140" s="9">
        <f t="shared" si="2"/>
        <v>3</v>
      </c>
      <c r="F140" s="10"/>
      <c r="G140" s="10"/>
      <c r="H140" s="10"/>
      <c r="I140" s="10"/>
      <c r="J140" s="10"/>
      <c r="K140" s="10"/>
      <c r="L140" s="10"/>
    </row>
    <row r="141" ht="36" spans="1:12">
      <c r="A141" s="6">
        <v>139</v>
      </c>
      <c r="B141" s="11" t="s">
        <v>314</v>
      </c>
      <c r="C141" s="11" t="s">
        <v>15</v>
      </c>
      <c r="D141" s="12" t="s">
        <v>315</v>
      </c>
      <c r="E141" s="9">
        <f t="shared" si="2"/>
        <v>11</v>
      </c>
      <c r="F141" s="10">
        <v>1</v>
      </c>
      <c r="G141" s="10"/>
      <c r="H141" s="10"/>
      <c r="I141" s="10"/>
      <c r="J141" s="10"/>
      <c r="K141" s="10"/>
      <c r="L141" s="10"/>
    </row>
    <row r="142" ht="18" spans="1:12">
      <c r="A142" s="6">
        <v>140</v>
      </c>
      <c r="B142" s="11" t="s">
        <v>316</v>
      </c>
      <c r="C142" s="11" t="s">
        <v>312</v>
      </c>
      <c r="D142" s="12" t="s">
        <v>317</v>
      </c>
      <c r="E142" s="9">
        <f t="shared" si="2"/>
        <v>4</v>
      </c>
      <c r="F142" s="10"/>
      <c r="G142" s="10"/>
      <c r="H142" s="10"/>
      <c r="I142" s="10"/>
      <c r="J142" s="10"/>
      <c r="K142" s="10"/>
      <c r="L142" s="10"/>
    </row>
    <row r="143" ht="176" spans="1:12">
      <c r="A143" s="6">
        <v>141</v>
      </c>
      <c r="B143" s="11" t="s">
        <v>318</v>
      </c>
      <c r="C143" s="11" t="s">
        <v>15</v>
      </c>
      <c r="D143" s="12" t="s">
        <v>319</v>
      </c>
      <c r="E143" s="9">
        <f t="shared" si="2"/>
        <v>71</v>
      </c>
      <c r="F143" s="10"/>
      <c r="G143" s="10"/>
      <c r="H143" s="10"/>
      <c r="I143" s="10"/>
      <c r="J143" s="10"/>
      <c r="K143" s="10"/>
      <c r="L143" s="10">
        <v>1</v>
      </c>
    </row>
    <row r="144" ht="36" spans="1:12">
      <c r="A144" s="6">
        <v>142</v>
      </c>
      <c r="B144" s="11" t="s">
        <v>320</v>
      </c>
      <c r="C144" s="11" t="s">
        <v>249</v>
      </c>
      <c r="D144" s="12" t="s">
        <v>321</v>
      </c>
      <c r="E144" s="9">
        <f t="shared" si="2"/>
        <v>7</v>
      </c>
      <c r="F144" s="10"/>
      <c r="G144" s="10"/>
      <c r="H144" s="10"/>
      <c r="I144" s="10"/>
      <c r="J144" s="10"/>
      <c r="K144" s="10"/>
      <c r="L144" s="10"/>
    </row>
    <row r="145" ht="53" spans="1:12">
      <c r="A145" s="6">
        <v>143</v>
      </c>
      <c r="B145" s="11" t="s">
        <v>322</v>
      </c>
      <c r="C145" s="11" t="s">
        <v>15</v>
      </c>
      <c r="D145" s="12" t="s">
        <v>323</v>
      </c>
      <c r="E145" s="9">
        <f t="shared" si="2"/>
        <v>19</v>
      </c>
      <c r="F145" s="10"/>
      <c r="G145" s="10"/>
      <c r="H145" s="10"/>
      <c r="I145" s="10"/>
      <c r="J145" s="10"/>
      <c r="K145" s="10"/>
      <c r="L145" s="10">
        <v>1</v>
      </c>
    </row>
    <row r="146" ht="18" spans="1:12">
      <c r="A146" s="6">
        <v>144</v>
      </c>
      <c r="B146" s="11" t="s">
        <v>324</v>
      </c>
      <c r="C146" s="11" t="s">
        <v>325</v>
      </c>
      <c r="D146" s="12" t="s">
        <v>326</v>
      </c>
      <c r="E146" s="9">
        <f t="shared" si="2"/>
        <v>1</v>
      </c>
      <c r="F146" s="10"/>
      <c r="G146" s="10"/>
      <c r="H146" s="10"/>
      <c r="I146" s="10"/>
      <c r="J146" s="10"/>
      <c r="K146" s="10"/>
      <c r="L146" s="10"/>
    </row>
    <row r="147" ht="18" spans="1:12">
      <c r="A147" s="6">
        <v>145</v>
      </c>
      <c r="B147" s="11" t="s">
        <v>327</v>
      </c>
      <c r="C147" s="11" t="s">
        <v>15</v>
      </c>
      <c r="D147" s="12" t="s">
        <v>328</v>
      </c>
      <c r="E147" s="9">
        <f t="shared" si="2"/>
        <v>3</v>
      </c>
      <c r="F147" s="10"/>
      <c r="G147" s="10"/>
      <c r="H147" s="10">
        <v>1</v>
      </c>
      <c r="I147" s="10"/>
      <c r="J147" s="10"/>
      <c r="K147" s="10"/>
      <c r="L147" s="10"/>
    </row>
    <row r="148" ht="18" spans="1:12">
      <c r="A148" s="6">
        <v>146</v>
      </c>
      <c r="B148" s="11" t="s">
        <v>329</v>
      </c>
      <c r="C148" s="11" t="s">
        <v>325</v>
      </c>
      <c r="D148" s="12" t="s">
        <v>330</v>
      </c>
      <c r="E148" s="9">
        <f t="shared" si="2"/>
        <v>6</v>
      </c>
      <c r="F148" s="10"/>
      <c r="G148" s="10"/>
      <c r="H148" s="10"/>
      <c r="I148" s="10"/>
      <c r="J148" s="10"/>
      <c r="K148" s="10"/>
      <c r="L148" s="10"/>
    </row>
    <row r="149" ht="71" spans="1:12">
      <c r="A149" s="6">
        <v>147</v>
      </c>
      <c r="B149" s="11" t="s">
        <v>331</v>
      </c>
      <c r="C149" s="11" t="s">
        <v>15</v>
      </c>
      <c r="D149" s="12" t="s">
        <v>332</v>
      </c>
      <c r="E149" s="9">
        <f t="shared" si="2"/>
        <v>30</v>
      </c>
      <c r="F149" s="10"/>
      <c r="G149" s="10">
        <v>1</v>
      </c>
      <c r="H149" s="10"/>
      <c r="I149" s="10"/>
      <c r="J149" s="10"/>
      <c r="K149" s="10"/>
      <c r="L149" s="10"/>
    </row>
    <row r="150" ht="18" spans="1:12">
      <c r="A150" s="6">
        <v>148</v>
      </c>
      <c r="B150" s="11" t="s">
        <v>333</v>
      </c>
      <c r="C150" s="11" t="s">
        <v>325</v>
      </c>
      <c r="D150" s="12" t="s">
        <v>334</v>
      </c>
      <c r="E150" s="9">
        <f t="shared" si="2"/>
        <v>1</v>
      </c>
      <c r="F150" s="10"/>
      <c r="G150" s="10"/>
      <c r="H150" s="10"/>
      <c r="I150" s="10"/>
      <c r="J150" s="10"/>
      <c r="K150" s="10"/>
      <c r="L150" s="10"/>
    </row>
    <row r="151" ht="88" spans="1:12">
      <c r="A151" s="6">
        <v>149</v>
      </c>
      <c r="B151" s="11" t="s">
        <v>335</v>
      </c>
      <c r="C151" s="11" t="s">
        <v>15</v>
      </c>
      <c r="D151" s="12" t="s">
        <v>336</v>
      </c>
      <c r="E151" s="9">
        <f t="shared" si="2"/>
        <v>30</v>
      </c>
      <c r="F151" s="10"/>
      <c r="G151" s="10"/>
      <c r="H151" s="10"/>
      <c r="I151" s="10"/>
      <c r="J151" s="10"/>
      <c r="K151" s="10">
        <v>1</v>
      </c>
      <c r="L151" s="10"/>
    </row>
    <row r="152" ht="18" spans="1:12">
      <c r="A152" s="6">
        <v>150</v>
      </c>
      <c r="B152" s="11" t="s">
        <v>337</v>
      </c>
      <c r="C152" s="11" t="s">
        <v>338</v>
      </c>
      <c r="D152" s="12" t="s">
        <v>30</v>
      </c>
      <c r="E152" s="9">
        <f t="shared" si="2"/>
        <v>1</v>
      </c>
      <c r="F152" s="10"/>
      <c r="G152" s="10"/>
      <c r="H152" s="10"/>
      <c r="I152" s="10"/>
      <c r="J152" s="10"/>
      <c r="K152" s="10"/>
      <c r="L152" s="10"/>
    </row>
    <row r="153" ht="18" spans="1:12">
      <c r="A153" s="6">
        <v>151</v>
      </c>
      <c r="B153" s="11" t="s">
        <v>339</v>
      </c>
      <c r="C153" s="11" t="s">
        <v>15</v>
      </c>
      <c r="D153" s="12" t="s">
        <v>340</v>
      </c>
      <c r="E153" s="9">
        <f t="shared" si="2"/>
        <v>6</v>
      </c>
      <c r="F153" s="10">
        <v>1</v>
      </c>
      <c r="G153" s="10"/>
      <c r="H153" s="10"/>
      <c r="I153" s="10"/>
      <c r="J153" s="10"/>
      <c r="K153" s="10"/>
      <c r="L153" s="10"/>
    </row>
    <row r="154" ht="124" spans="1:12">
      <c r="A154" s="6">
        <v>152</v>
      </c>
      <c r="B154" s="11" t="s">
        <v>341</v>
      </c>
      <c r="C154" s="11" t="s">
        <v>338</v>
      </c>
      <c r="D154" s="12" t="s">
        <v>342</v>
      </c>
      <c r="E154" s="9">
        <f t="shared" si="2"/>
        <v>43</v>
      </c>
      <c r="F154" s="10"/>
      <c r="G154" s="10"/>
      <c r="H154" s="10"/>
      <c r="I154" s="10"/>
      <c r="J154" s="10"/>
      <c r="K154" s="10"/>
      <c r="L154" s="10"/>
    </row>
    <row r="155" ht="88" spans="1:12">
      <c r="A155" s="6">
        <v>153</v>
      </c>
      <c r="B155" s="11" t="s">
        <v>343</v>
      </c>
      <c r="C155" s="11" t="s">
        <v>15</v>
      </c>
      <c r="D155" s="12" t="s">
        <v>344</v>
      </c>
      <c r="E155" s="9">
        <f t="shared" si="2"/>
        <v>27</v>
      </c>
      <c r="F155" s="10"/>
      <c r="G155" s="10"/>
      <c r="H155" s="10"/>
      <c r="I155" s="10"/>
      <c r="J155" s="10"/>
      <c r="K155" s="10"/>
      <c r="L155" s="10"/>
    </row>
    <row r="156" ht="53" spans="1:12">
      <c r="A156" s="6">
        <v>154</v>
      </c>
      <c r="B156" s="11" t="s">
        <v>345</v>
      </c>
      <c r="C156" s="11" t="s">
        <v>346</v>
      </c>
      <c r="D156" s="12" t="s">
        <v>347</v>
      </c>
      <c r="E156" s="9">
        <f t="shared" si="2"/>
        <v>20</v>
      </c>
      <c r="F156" s="10"/>
      <c r="G156" s="10"/>
      <c r="H156" s="10"/>
      <c r="I156" s="10"/>
      <c r="J156" s="10"/>
      <c r="K156" s="10"/>
      <c r="L156" s="10"/>
    </row>
    <row r="157" ht="18" spans="1:12">
      <c r="A157" s="6">
        <v>155</v>
      </c>
      <c r="B157" s="11" t="s">
        <v>348</v>
      </c>
      <c r="C157" s="11" t="s">
        <v>218</v>
      </c>
      <c r="D157" s="12" t="s">
        <v>349</v>
      </c>
      <c r="E157" s="9">
        <f t="shared" si="2"/>
        <v>3</v>
      </c>
      <c r="F157" s="10"/>
      <c r="G157" s="10"/>
      <c r="H157" s="10"/>
      <c r="I157" s="10"/>
      <c r="J157" s="10"/>
      <c r="K157" s="10"/>
      <c r="L157" s="10"/>
    </row>
    <row r="158" ht="36" spans="1:12">
      <c r="A158" s="6">
        <v>156</v>
      </c>
      <c r="B158" s="11" t="s">
        <v>350</v>
      </c>
      <c r="C158" s="11" t="s">
        <v>15</v>
      </c>
      <c r="D158" s="12" t="s">
        <v>351</v>
      </c>
      <c r="E158" s="9">
        <f t="shared" si="2"/>
        <v>11</v>
      </c>
      <c r="F158" s="10"/>
      <c r="G158" s="10"/>
      <c r="H158" s="10">
        <v>1</v>
      </c>
      <c r="I158" s="10"/>
      <c r="J158" s="10"/>
      <c r="K158" s="10"/>
      <c r="L158" s="10"/>
    </row>
    <row r="159" ht="36" spans="1:12">
      <c r="A159" s="6">
        <v>157</v>
      </c>
      <c r="B159" s="11" t="s">
        <v>352</v>
      </c>
      <c r="C159" s="11" t="s">
        <v>218</v>
      </c>
      <c r="D159" s="12" t="s">
        <v>353</v>
      </c>
      <c r="E159" s="9">
        <f t="shared" si="2"/>
        <v>8</v>
      </c>
      <c r="F159" s="10"/>
      <c r="G159" s="10"/>
      <c r="H159" s="10"/>
      <c r="I159" s="10"/>
      <c r="J159" s="10"/>
      <c r="K159" s="10"/>
      <c r="L159" s="10"/>
    </row>
    <row r="160" ht="159" spans="1:12">
      <c r="A160" s="6">
        <v>158</v>
      </c>
      <c r="B160" s="11" t="s">
        <v>354</v>
      </c>
      <c r="C160" s="11" t="s">
        <v>15</v>
      </c>
      <c r="D160" s="12" t="s">
        <v>355</v>
      </c>
      <c r="E160" s="9">
        <f t="shared" si="2"/>
        <v>50</v>
      </c>
      <c r="F160" s="10"/>
      <c r="G160" s="10"/>
      <c r="H160" s="10"/>
      <c r="I160" s="10"/>
      <c r="J160" s="10"/>
      <c r="K160" s="10"/>
      <c r="L160" s="10"/>
    </row>
    <row r="161" ht="18" spans="1:12">
      <c r="A161" s="6">
        <v>159</v>
      </c>
      <c r="B161" s="11" t="s">
        <v>356</v>
      </c>
      <c r="C161" s="11" t="s">
        <v>357</v>
      </c>
      <c r="D161" s="12" t="s">
        <v>358</v>
      </c>
      <c r="E161" s="9">
        <f t="shared" si="2"/>
        <v>4</v>
      </c>
      <c r="F161" s="10"/>
      <c r="G161" s="10"/>
      <c r="H161" s="10"/>
      <c r="I161" s="10"/>
      <c r="J161" s="10"/>
      <c r="K161" s="10"/>
      <c r="L161" s="10"/>
    </row>
    <row r="162" ht="71" spans="1:12">
      <c r="A162" s="6">
        <v>160</v>
      </c>
      <c r="B162" s="11" t="s">
        <v>359</v>
      </c>
      <c r="C162" s="11" t="s">
        <v>15</v>
      </c>
      <c r="D162" s="12" t="s">
        <v>360</v>
      </c>
      <c r="E162" s="9">
        <f t="shared" si="2"/>
        <v>22</v>
      </c>
      <c r="F162" s="10"/>
      <c r="G162" s="10"/>
      <c r="H162" s="10"/>
      <c r="I162" s="10"/>
      <c r="J162" s="10"/>
      <c r="K162" s="10"/>
      <c r="L162" s="10">
        <v>1</v>
      </c>
    </row>
    <row r="163" ht="18" spans="1:12">
      <c r="A163" s="6">
        <v>161</v>
      </c>
      <c r="B163" s="11" t="s">
        <v>361</v>
      </c>
      <c r="C163" s="11" t="s">
        <v>346</v>
      </c>
      <c r="D163" s="12" t="s">
        <v>362</v>
      </c>
      <c r="E163" s="9">
        <f t="shared" si="2"/>
        <v>1</v>
      </c>
      <c r="F163" s="10"/>
      <c r="G163" s="10"/>
      <c r="H163" s="10"/>
      <c r="I163" s="10"/>
      <c r="J163" s="10"/>
      <c r="K163" s="10"/>
      <c r="L163" s="10"/>
    </row>
    <row r="164" ht="18" spans="1:12">
      <c r="A164" s="6">
        <v>162</v>
      </c>
      <c r="B164" s="11" t="s">
        <v>363</v>
      </c>
      <c r="C164" s="11" t="s">
        <v>15</v>
      </c>
      <c r="D164" s="12" t="s">
        <v>364</v>
      </c>
      <c r="E164" s="9">
        <f t="shared" si="2"/>
        <v>5</v>
      </c>
      <c r="F164" s="10"/>
      <c r="G164" s="10"/>
      <c r="H164" s="10">
        <v>1</v>
      </c>
      <c r="I164" s="10"/>
      <c r="J164" s="10"/>
      <c r="K164" s="10"/>
      <c r="L164" s="10"/>
    </row>
    <row r="165" ht="18" spans="1:12">
      <c r="A165" s="6">
        <v>163</v>
      </c>
      <c r="B165" s="11" t="s">
        <v>365</v>
      </c>
      <c r="C165" s="11" t="s">
        <v>346</v>
      </c>
      <c r="D165" s="12" t="s">
        <v>366</v>
      </c>
      <c r="E165" s="9">
        <f t="shared" si="2"/>
        <v>1</v>
      </c>
      <c r="F165" s="10"/>
      <c r="G165" s="10"/>
      <c r="H165" s="10"/>
      <c r="I165" s="10"/>
      <c r="J165" s="10"/>
      <c r="K165" s="10"/>
      <c r="L165" s="10"/>
    </row>
    <row r="166" ht="71" spans="1:12">
      <c r="A166" s="6">
        <v>164</v>
      </c>
      <c r="B166" s="11" t="s">
        <v>367</v>
      </c>
      <c r="C166" s="11" t="s">
        <v>15</v>
      </c>
      <c r="D166" s="12" t="s">
        <v>368</v>
      </c>
      <c r="E166" s="9">
        <f t="shared" si="2"/>
        <v>26</v>
      </c>
      <c r="F166" s="10"/>
      <c r="G166" s="10"/>
      <c r="H166" s="10"/>
      <c r="I166" s="10"/>
      <c r="J166" s="10"/>
      <c r="K166" s="10"/>
      <c r="L166" s="10">
        <v>1</v>
      </c>
    </row>
    <row r="167" ht="18" spans="1:12">
      <c r="A167" s="6">
        <v>165</v>
      </c>
      <c r="B167" s="11" t="s">
        <v>369</v>
      </c>
      <c r="C167" s="11" t="s">
        <v>357</v>
      </c>
      <c r="D167" s="12" t="s">
        <v>370</v>
      </c>
      <c r="E167" s="9">
        <f t="shared" si="2"/>
        <v>3</v>
      </c>
      <c r="F167" s="10"/>
      <c r="G167" s="10"/>
      <c r="H167" s="10"/>
      <c r="I167" s="10"/>
      <c r="J167" s="10"/>
      <c r="K167" s="10"/>
      <c r="L167" s="10"/>
    </row>
    <row r="168" ht="36" spans="1:12">
      <c r="A168" s="6">
        <v>166</v>
      </c>
      <c r="B168" s="11" t="s">
        <v>371</v>
      </c>
      <c r="C168" s="11" t="s">
        <v>15</v>
      </c>
      <c r="D168" s="12" t="s">
        <v>372</v>
      </c>
      <c r="E168" s="9">
        <f t="shared" si="2"/>
        <v>11</v>
      </c>
      <c r="F168" s="10"/>
      <c r="G168" s="10"/>
      <c r="H168" s="10"/>
      <c r="I168" s="10"/>
      <c r="J168" s="10"/>
      <c r="K168" s="10"/>
      <c r="L168" s="10">
        <v>1</v>
      </c>
    </row>
    <row r="169" ht="36" spans="1:12">
      <c r="A169" s="6">
        <v>167</v>
      </c>
      <c r="B169" s="11" t="s">
        <v>373</v>
      </c>
      <c r="C169" s="11" t="s">
        <v>218</v>
      </c>
      <c r="D169" s="12" t="s">
        <v>374</v>
      </c>
      <c r="E169" s="9">
        <f t="shared" si="2"/>
        <v>10</v>
      </c>
      <c r="F169" s="10"/>
      <c r="G169" s="10"/>
      <c r="H169" s="10"/>
      <c r="I169" s="10"/>
      <c r="J169" s="10"/>
      <c r="K169" s="10"/>
      <c r="L169" s="10"/>
    </row>
    <row r="170" ht="18" spans="1:12">
      <c r="A170" s="6">
        <v>168</v>
      </c>
      <c r="B170" s="11" t="s">
        <v>375</v>
      </c>
      <c r="C170" s="11" t="s">
        <v>357</v>
      </c>
      <c r="D170" s="12" t="s">
        <v>376</v>
      </c>
      <c r="E170" s="9">
        <f t="shared" si="2"/>
        <v>2</v>
      </c>
      <c r="F170" s="10"/>
      <c r="G170" s="10"/>
      <c r="H170" s="10"/>
      <c r="I170" s="10"/>
      <c r="J170" s="10"/>
      <c r="K170" s="10"/>
      <c r="L170" s="10"/>
    </row>
    <row r="171" ht="71" spans="1:12">
      <c r="A171" s="6">
        <v>169</v>
      </c>
      <c r="B171" s="11" t="s">
        <v>377</v>
      </c>
      <c r="C171" s="11" t="s">
        <v>15</v>
      </c>
      <c r="D171" s="12" t="s">
        <v>378</v>
      </c>
      <c r="E171" s="9">
        <f t="shared" si="2"/>
        <v>26</v>
      </c>
      <c r="F171" s="10"/>
      <c r="G171" s="10"/>
      <c r="H171" s="10"/>
      <c r="I171" s="10"/>
      <c r="J171" s="10"/>
      <c r="K171" s="10"/>
      <c r="L171" s="10"/>
    </row>
    <row r="172" ht="18" spans="1:12">
      <c r="A172" s="6">
        <v>170</v>
      </c>
      <c r="B172" s="11" t="s">
        <v>379</v>
      </c>
      <c r="C172" s="11" t="s">
        <v>346</v>
      </c>
      <c r="D172" s="12" t="s">
        <v>380</v>
      </c>
      <c r="E172" s="9">
        <f t="shared" si="2"/>
        <v>6</v>
      </c>
      <c r="F172" s="10"/>
      <c r="G172" s="10"/>
      <c r="H172" s="10"/>
      <c r="I172" s="10"/>
      <c r="J172" s="10"/>
      <c r="K172" s="10"/>
      <c r="L172" s="10"/>
    </row>
    <row r="173" ht="71" spans="1:12">
      <c r="A173" s="6">
        <v>171</v>
      </c>
      <c r="B173" s="11" t="s">
        <v>381</v>
      </c>
      <c r="C173" s="11" t="s">
        <v>15</v>
      </c>
      <c r="D173" s="12" t="s">
        <v>382</v>
      </c>
      <c r="E173" s="9">
        <f t="shared" si="2"/>
        <v>25</v>
      </c>
      <c r="F173" s="10">
        <v>1</v>
      </c>
      <c r="G173" s="10"/>
      <c r="H173" s="10"/>
      <c r="I173" s="10"/>
      <c r="J173" s="10"/>
      <c r="K173" s="10"/>
      <c r="L173" s="10"/>
    </row>
    <row r="174" ht="36" spans="1:12">
      <c r="A174" s="6">
        <v>172</v>
      </c>
      <c r="B174" s="11" t="s">
        <v>383</v>
      </c>
      <c r="C174" s="11" t="s">
        <v>346</v>
      </c>
      <c r="D174" s="12" t="s">
        <v>384</v>
      </c>
      <c r="E174" s="9">
        <f t="shared" si="2"/>
        <v>7</v>
      </c>
      <c r="F174" s="10"/>
      <c r="G174" s="10"/>
      <c r="H174" s="10"/>
      <c r="I174" s="10"/>
      <c r="J174" s="10"/>
      <c r="K174" s="10"/>
      <c r="L174" s="10"/>
    </row>
    <row r="175" ht="18" spans="1:12">
      <c r="A175" s="6">
        <v>173</v>
      </c>
      <c r="B175" s="11" t="s">
        <v>385</v>
      </c>
      <c r="C175" s="11" t="s">
        <v>15</v>
      </c>
      <c r="D175" s="12" t="s">
        <v>386</v>
      </c>
      <c r="E175" s="9">
        <f t="shared" si="2"/>
        <v>4</v>
      </c>
      <c r="F175" s="10">
        <v>1</v>
      </c>
      <c r="G175" s="10"/>
      <c r="H175" s="10"/>
      <c r="I175" s="10"/>
      <c r="J175" s="10"/>
      <c r="K175" s="10"/>
      <c r="L175" s="10"/>
    </row>
    <row r="176" ht="106" spans="1:12">
      <c r="A176" s="6">
        <v>174</v>
      </c>
      <c r="B176" s="11" t="s">
        <v>387</v>
      </c>
      <c r="C176" s="11" t="s">
        <v>346</v>
      </c>
      <c r="D176" s="12" t="s">
        <v>388</v>
      </c>
      <c r="E176" s="9">
        <f t="shared" si="2"/>
        <v>36</v>
      </c>
      <c r="F176" s="10"/>
      <c r="G176" s="10"/>
      <c r="H176" s="10"/>
      <c r="I176" s="10"/>
      <c r="J176" s="10"/>
      <c r="K176" s="10"/>
      <c r="L176" s="10"/>
    </row>
    <row r="177" ht="106" spans="1:12">
      <c r="A177" s="6">
        <v>175</v>
      </c>
      <c r="B177" s="11" t="s">
        <v>389</v>
      </c>
      <c r="C177" s="11" t="s">
        <v>15</v>
      </c>
      <c r="D177" s="12" t="s">
        <v>390</v>
      </c>
      <c r="E177" s="9">
        <f t="shared" si="2"/>
        <v>37</v>
      </c>
      <c r="F177" s="10"/>
      <c r="G177" s="10"/>
      <c r="H177" s="10"/>
      <c r="I177" s="10"/>
      <c r="J177" s="10"/>
      <c r="K177" s="10"/>
      <c r="L177" s="10">
        <v>1</v>
      </c>
    </row>
    <row r="178" ht="18" spans="1:12">
      <c r="A178" s="6">
        <v>176</v>
      </c>
      <c r="B178" s="11" t="s">
        <v>391</v>
      </c>
      <c r="C178" s="11" t="s">
        <v>325</v>
      </c>
      <c r="D178" s="12" t="s">
        <v>392</v>
      </c>
      <c r="E178" s="9">
        <f t="shared" si="2"/>
        <v>5</v>
      </c>
      <c r="F178" s="10"/>
      <c r="G178" s="10"/>
      <c r="H178" s="10"/>
      <c r="I178" s="10"/>
      <c r="J178" s="10"/>
      <c r="K178" s="10"/>
      <c r="L178" s="10"/>
    </row>
    <row r="179" ht="53" spans="1:12">
      <c r="A179" s="6">
        <v>177</v>
      </c>
      <c r="B179" s="11" t="s">
        <v>393</v>
      </c>
      <c r="C179" s="11" t="s">
        <v>15</v>
      </c>
      <c r="D179" s="12" t="s">
        <v>394</v>
      </c>
      <c r="E179" s="9">
        <f t="shared" si="2"/>
        <v>18</v>
      </c>
      <c r="F179" s="10">
        <v>1</v>
      </c>
      <c r="G179" s="10"/>
      <c r="H179" s="10"/>
      <c r="I179" s="10"/>
      <c r="J179" s="10"/>
      <c r="K179" s="10"/>
      <c r="L179" s="10"/>
    </row>
    <row r="180" ht="18" spans="1:12">
      <c r="A180" s="6">
        <v>178</v>
      </c>
      <c r="B180" s="11" t="s">
        <v>395</v>
      </c>
      <c r="C180" s="11" t="s">
        <v>325</v>
      </c>
      <c r="D180" s="12" t="s">
        <v>396</v>
      </c>
      <c r="E180" s="9">
        <f t="shared" si="2"/>
        <v>6</v>
      </c>
      <c r="F180" s="10"/>
      <c r="G180" s="10"/>
      <c r="H180" s="10"/>
      <c r="I180" s="10"/>
      <c r="J180" s="10"/>
      <c r="K180" s="10"/>
      <c r="L180" s="10"/>
    </row>
    <row r="181" ht="71" spans="1:12">
      <c r="A181" s="6">
        <v>179</v>
      </c>
      <c r="B181" s="11" t="s">
        <v>397</v>
      </c>
      <c r="C181" s="11" t="s">
        <v>15</v>
      </c>
      <c r="D181" s="12" t="s">
        <v>398</v>
      </c>
      <c r="E181" s="9">
        <f t="shared" si="2"/>
        <v>24</v>
      </c>
      <c r="F181" s="10">
        <v>1</v>
      </c>
      <c r="G181" s="10"/>
      <c r="H181" s="10"/>
      <c r="I181" s="10"/>
      <c r="J181" s="10"/>
      <c r="K181" s="10"/>
      <c r="L181" s="10"/>
    </row>
    <row r="182" ht="18" spans="1:12">
      <c r="A182" s="6">
        <v>180</v>
      </c>
      <c r="B182" s="11" t="s">
        <v>399</v>
      </c>
      <c r="C182" s="11" t="s">
        <v>325</v>
      </c>
      <c r="D182" s="12" t="s">
        <v>400</v>
      </c>
      <c r="E182" s="9">
        <f t="shared" si="2"/>
        <v>5</v>
      </c>
      <c r="F182" s="10"/>
      <c r="G182" s="10"/>
      <c r="H182" s="10"/>
      <c r="I182" s="10"/>
      <c r="J182" s="10"/>
      <c r="K182" s="10"/>
      <c r="L182" s="10"/>
    </row>
    <row r="183" ht="106" spans="1:12">
      <c r="A183" s="6">
        <v>181</v>
      </c>
      <c r="B183" s="11" t="s">
        <v>401</v>
      </c>
      <c r="C183" s="11" t="s">
        <v>15</v>
      </c>
      <c r="D183" s="12" t="s">
        <v>402</v>
      </c>
      <c r="E183" s="9">
        <f t="shared" si="2"/>
        <v>41</v>
      </c>
      <c r="F183" s="10"/>
      <c r="G183" s="10"/>
      <c r="H183" s="10"/>
      <c r="I183" s="10"/>
      <c r="J183" s="10"/>
      <c r="K183" s="10"/>
      <c r="L183" s="10">
        <v>1</v>
      </c>
    </row>
    <row r="184" ht="18" spans="1:12">
      <c r="A184" s="6">
        <v>182</v>
      </c>
      <c r="B184" s="11" t="s">
        <v>403</v>
      </c>
      <c r="C184" s="11" t="s">
        <v>127</v>
      </c>
      <c r="D184" s="12" t="s">
        <v>404</v>
      </c>
      <c r="E184" s="9">
        <f t="shared" si="2"/>
        <v>3</v>
      </c>
      <c r="F184" s="10"/>
      <c r="G184" s="10"/>
      <c r="H184" s="10"/>
      <c r="I184" s="10"/>
      <c r="J184" s="10"/>
      <c r="K184" s="10"/>
      <c r="L184" s="10"/>
    </row>
    <row r="185" ht="18" spans="1:12">
      <c r="A185" s="6">
        <v>183</v>
      </c>
      <c r="B185" s="11" t="s">
        <v>405</v>
      </c>
      <c r="C185" s="11" t="s">
        <v>15</v>
      </c>
      <c r="D185" s="12" t="s">
        <v>406</v>
      </c>
      <c r="E185" s="9">
        <f t="shared" si="2"/>
        <v>6</v>
      </c>
      <c r="F185" s="10"/>
      <c r="G185" s="10"/>
      <c r="H185" s="10">
        <v>1</v>
      </c>
      <c r="I185" s="10"/>
      <c r="J185" s="10"/>
      <c r="K185" s="10"/>
      <c r="L185" s="10"/>
    </row>
    <row r="186" ht="18" spans="1:12">
      <c r="A186" s="6">
        <v>184</v>
      </c>
      <c r="B186" s="11" t="s">
        <v>407</v>
      </c>
      <c r="C186" s="11" t="s">
        <v>127</v>
      </c>
      <c r="D186" s="12" t="s">
        <v>408</v>
      </c>
      <c r="E186" s="9">
        <f t="shared" si="2"/>
        <v>4</v>
      </c>
      <c r="F186" s="10"/>
      <c r="G186" s="10"/>
      <c r="H186" s="10"/>
      <c r="I186" s="10"/>
      <c r="J186" s="10"/>
      <c r="K186" s="10"/>
      <c r="L186" s="10"/>
    </row>
    <row r="187" ht="36" spans="1:12">
      <c r="A187" s="6">
        <v>185</v>
      </c>
      <c r="B187" s="11" t="s">
        <v>409</v>
      </c>
      <c r="C187" s="11" t="s">
        <v>15</v>
      </c>
      <c r="D187" s="12" t="s">
        <v>410</v>
      </c>
      <c r="E187" s="9">
        <f t="shared" si="2"/>
        <v>7</v>
      </c>
      <c r="F187" s="10"/>
      <c r="G187" s="10"/>
      <c r="H187" s="10">
        <v>1</v>
      </c>
      <c r="I187" s="10"/>
      <c r="J187" s="10"/>
      <c r="K187" s="10"/>
      <c r="L187" s="10"/>
    </row>
    <row r="188" ht="18" spans="1:12">
      <c r="A188" s="6">
        <v>186</v>
      </c>
      <c r="B188" s="11" t="s">
        <v>411</v>
      </c>
      <c r="C188" s="11" t="s">
        <v>127</v>
      </c>
      <c r="D188" s="12" t="s">
        <v>412</v>
      </c>
      <c r="E188" s="9">
        <f t="shared" si="2"/>
        <v>2</v>
      </c>
      <c r="F188" s="10"/>
      <c r="G188" s="10"/>
      <c r="H188" s="10"/>
      <c r="I188" s="10"/>
      <c r="J188" s="10"/>
      <c r="K188" s="10"/>
      <c r="L188" s="10"/>
    </row>
    <row r="189" ht="124" spans="1:12">
      <c r="A189" s="6">
        <v>187</v>
      </c>
      <c r="B189" s="11" t="s">
        <v>413</v>
      </c>
      <c r="C189" s="11" t="s">
        <v>15</v>
      </c>
      <c r="D189" s="12" t="s">
        <v>414</v>
      </c>
      <c r="E189" s="9">
        <f t="shared" si="2"/>
        <v>39</v>
      </c>
      <c r="F189" s="10"/>
      <c r="G189" s="10"/>
      <c r="H189" s="10"/>
      <c r="I189" s="10"/>
      <c r="J189" s="10"/>
      <c r="K189" s="10">
        <v>1</v>
      </c>
      <c r="L189" s="10"/>
    </row>
    <row r="190" ht="18" spans="1:12">
      <c r="A190" s="6">
        <v>188</v>
      </c>
      <c r="B190" s="11" t="s">
        <v>415</v>
      </c>
      <c r="C190" s="11" t="s">
        <v>416</v>
      </c>
      <c r="D190" s="12" t="s">
        <v>417</v>
      </c>
      <c r="E190" s="9">
        <f t="shared" si="2"/>
        <v>3</v>
      </c>
      <c r="F190" s="10"/>
      <c r="G190" s="10"/>
      <c r="H190" s="10"/>
      <c r="I190" s="10"/>
      <c r="J190" s="10"/>
      <c r="K190" s="10"/>
      <c r="L190" s="10"/>
    </row>
    <row r="191" ht="36" spans="1:12">
      <c r="A191" s="6">
        <v>189</v>
      </c>
      <c r="B191" s="11" t="s">
        <v>418</v>
      </c>
      <c r="C191" s="11" t="s">
        <v>15</v>
      </c>
      <c r="D191" s="12" t="s">
        <v>419</v>
      </c>
      <c r="E191" s="9">
        <f t="shared" si="2"/>
        <v>9</v>
      </c>
      <c r="F191" s="10"/>
      <c r="G191" s="10"/>
      <c r="H191" s="10">
        <v>1</v>
      </c>
      <c r="I191" s="10"/>
      <c r="J191" s="10"/>
      <c r="K191" s="10"/>
      <c r="L191" s="10"/>
    </row>
    <row r="192" ht="18" spans="1:12">
      <c r="A192" s="6">
        <v>190</v>
      </c>
      <c r="B192" s="11" t="s">
        <v>420</v>
      </c>
      <c r="C192" s="11" t="s">
        <v>421</v>
      </c>
      <c r="D192" s="12" t="s">
        <v>422</v>
      </c>
      <c r="E192" s="9">
        <f t="shared" si="2"/>
        <v>3</v>
      </c>
      <c r="F192" s="10"/>
      <c r="G192" s="10"/>
      <c r="H192" s="10"/>
      <c r="I192" s="10"/>
      <c r="J192" s="10"/>
      <c r="K192" s="10"/>
      <c r="L192" s="10"/>
    </row>
    <row r="193" ht="194" spans="1:12">
      <c r="A193" s="6">
        <v>191</v>
      </c>
      <c r="B193" s="11" t="s">
        <v>423</v>
      </c>
      <c r="C193" s="11" t="s">
        <v>15</v>
      </c>
      <c r="D193" s="12" t="s">
        <v>424</v>
      </c>
      <c r="E193" s="9">
        <f t="shared" si="2"/>
        <v>68</v>
      </c>
      <c r="F193" s="10"/>
      <c r="G193" s="10"/>
      <c r="H193" s="10"/>
      <c r="I193" s="10"/>
      <c r="J193" s="10"/>
      <c r="K193" s="10"/>
      <c r="L193" s="10"/>
    </row>
    <row r="194" ht="18" spans="1:12">
      <c r="A194" s="6">
        <v>192</v>
      </c>
      <c r="B194" s="11" t="s">
        <v>425</v>
      </c>
      <c r="C194" s="11" t="s">
        <v>346</v>
      </c>
      <c r="D194" s="12" t="s">
        <v>30</v>
      </c>
      <c r="E194" s="9">
        <f t="shared" si="2"/>
        <v>1</v>
      </c>
      <c r="F194" s="10"/>
      <c r="G194" s="10"/>
      <c r="H194" s="10"/>
      <c r="I194" s="10"/>
      <c r="J194" s="10"/>
      <c r="K194" s="10"/>
      <c r="L194" s="10"/>
    </row>
    <row r="195" ht="141" spans="1:12">
      <c r="A195" s="6">
        <v>193</v>
      </c>
      <c r="B195" s="11" t="s">
        <v>426</v>
      </c>
      <c r="C195" s="11" t="s">
        <v>15</v>
      </c>
      <c r="D195" s="12" t="s">
        <v>427</v>
      </c>
      <c r="E195" s="9">
        <f t="shared" si="2"/>
        <v>46</v>
      </c>
      <c r="F195" s="10">
        <v>1</v>
      </c>
      <c r="G195" s="10"/>
      <c r="H195" s="10"/>
      <c r="I195" s="10"/>
      <c r="J195" s="10"/>
      <c r="K195" s="10"/>
      <c r="L195" s="10"/>
    </row>
    <row r="196" ht="18" spans="1:12">
      <c r="A196" s="6">
        <v>194</v>
      </c>
      <c r="B196" s="11" t="s">
        <v>428</v>
      </c>
      <c r="C196" s="11" t="s">
        <v>346</v>
      </c>
      <c r="D196" s="12" t="s">
        <v>429</v>
      </c>
      <c r="E196" s="9">
        <f t="shared" ref="E196:E246" si="3">LEN(D196)-LEN(SUBSTITUTE(D196," ",""))+1</f>
        <v>3</v>
      </c>
      <c r="F196" s="10"/>
      <c r="G196" s="10"/>
      <c r="H196" s="10"/>
      <c r="I196" s="10"/>
      <c r="J196" s="10"/>
      <c r="K196" s="10"/>
      <c r="L196" s="10"/>
    </row>
    <row r="197" ht="18" spans="1:12">
      <c r="A197" s="6">
        <v>195</v>
      </c>
      <c r="B197" s="11" t="s">
        <v>430</v>
      </c>
      <c r="C197" s="11" t="s">
        <v>15</v>
      </c>
      <c r="D197" s="12" t="s">
        <v>431</v>
      </c>
      <c r="E197" s="9">
        <f t="shared" si="3"/>
        <v>8</v>
      </c>
      <c r="F197" s="10">
        <v>1</v>
      </c>
      <c r="G197" s="10"/>
      <c r="H197" s="10"/>
      <c r="I197" s="10"/>
      <c r="J197" s="10"/>
      <c r="K197" s="10"/>
      <c r="L197" s="10"/>
    </row>
    <row r="198" ht="18" spans="1:12">
      <c r="A198" s="6">
        <v>196</v>
      </c>
      <c r="B198" s="11" t="s">
        <v>432</v>
      </c>
      <c r="C198" s="11" t="s">
        <v>346</v>
      </c>
      <c r="D198" s="12" t="s">
        <v>433</v>
      </c>
      <c r="E198" s="9">
        <f t="shared" si="3"/>
        <v>5</v>
      </c>
      <c r="F198" s="10"/>
      <c r="G198" s="10"/>
      <c r="H198" s="10"/>
      <c r="I198" s="10"/>
      <c r="J198" s="10"/>
      <c r="K198" s="10"/>
      <c r="L198" s="10"/>
    </row>
    <row r="199" ht="124" spans="1:12">
      <c r="A199" s="6">
        <v>197</v>
      </c>
      <c r="B199" s="11" t="s">
        <v>434</v>
      </c>
      <c r="C199" s="11" t="s">
        <v>15</v>
      </c>
      <c r="D199" s="12" t="s">
        <v>435</v>
      </c>
      <c r="E199" s="9">
        <f t="shared" si="3"/>
        <v>52</v>
      </c>
      <c r="F199" s="10"/>
      <c r="G199" s="10"/>
      <c r="H199" s="10"/>
      <c r="I199" s="10"/>
      <c r="J199" s="10"/>
      <c r="K199" s="10"/>
      <c r="L199" s="10"/>
    </row>
    <row r="200" ht="18" spans="1:12">
      <c r="A200" s="6">
        <v>198</v>
      </c>
      <c r="B200" s="11" t="s">
        <v>436</v>
      </c>
      <c r="C200" s="11" t="s">
        <v>437</v>
      </c>
      <c r="D200" s="12" t="s">
        <v>438</v>
      </c>
      <c r="E200" s="9">
        <f t="shared" si="3"/>
        <v>2</v>
      </c>
      <c r="F200" s="10"/>
      <c r="G200" s="10"/>
      <c r="H200" s="10"/>
      <c r="I200" s="10"/>
      <c r="J200" s="10"/>
      <c r="K200" s="10"/>
      <c r="L200" s="10"/>
    </row>
    <row r="201" ht="124" spans="1:12">
      <c r="A201" s="6">
        <v>199</v>
      </c>
      <c r="B201" s="11" t="s">
        <v>439</v>
      </c>
      <c r="C201" s="11" t="s">
        <v>15</v>
      </c>
      <c r="D201" s="12" t="s">
        <v>440</v>
      </c>
      <c r="E201" s="9">
        <f t="shared" si="3"/>
        <v>49</v>
      </c>
      <c r="F201" s="10">
        <v>1</v>
      </c>
      <c r="G201" s="10"/>
      <c r="H201" s="10"/>
      <c r="I201" s="10"/>
      <c r="J201" s="10"/>
      <c r="K201" s="10"/>
      <c r="L201" s="10"/>
    </row>
    <row r="202" ht="18" spans="1:12">
      <c r="A202" s="6">
        <v>200</v>
      </c>
      <c r="B202" s="11" t="s">
        <v>441</v>
      </c>
      <c r="C202" s="11" t="s">
        <v>437</v>
      </c>
      <c r="D202" s="12" t="s">
        <v>442</v>
      </c>
      <c r="E202" s="9">
        <f t="shared" si="3"/>
        <v>2</v>
      </c>
      <c r="F202" s="10"/>
      <c r="G202" s="10"/>
      <c r="H202" s="10"/>
      <c r="I202" s="10"/>
      <c r="J202" s="10"/>
      <c r="K202" s="10"/>
      <c r="L202" s="10"/>
    </row>
    <row r="203" ht="18" spans="1:12">
      <c r="A203" s="6">
        <v>201</v>
      </c>
      <c r="B203" s="11" t="s">
        <v>443</v>
      </c>
      <c r="C203" s="11" t="s">
        <v>15</v>
      </c>
      <c r="D203" s="12" t="s">
        <v>444</v>
      </c>
      <c r="E203" s="9">
        <f t="shared" si="3"/>
        <v>6</v>
      </c>
      <c r="F203" s="10">
        <v>1</v>
      </c>
      <c r="G203" s="10"/>
      <c r="H203" s="10"/>
      <c r="I203" s="10"/>
      <c r="J203" s="10"/>
      <c r="K203" s="10"/>
      <c r="L203" s="10"/>
    </row>
    <row r="204" ht="18" spans="1:12">
      <c r="A204" s="6">
        <v>202</v>
      </c>
      <c r="B204" s="11" t="s">
        <v>445</v>
      </c>
      <c r="C204" s="11" t="s">
        <v>437</v>
      </c>
      <c r="D204" s="12" t="s">
        <v>446</v>
      </c>
      <c r="E204" s="9">
        <f t="shared" si="3"/>
        <v>2</v>
      </c>
      <c r="F204" s="10"/>
      <c r="G204" s="10"/>
      <c r="H204" s="10"/>
      <c r="I204" s="10"/>
      <c r="J204" s="10"/>
      <c r="K204" s="10"/>
      <c r="L204" s="10"/>
    </row>
    <row r="205" ht="71" spans="1:12">
      <c r="A205" s="6">
        <v>203</v>
      </c>
      <c r="B205" s="11" t="s">
        <v>447</v>
      </c>
      <c r="C205" s="11" t="s">
        <v>15</v>
      </c>
      <c r="D205" s="12" t="s">
        <v>448</v>
      </c>
      <c r="E205" s="9">
        <f t="shared" si="3"/>
        <v>20</v>
      </c>
      <c r="F205" s="10"/>
      <c r="G205" s="10"/>
      <c r="H205" s="10"/>
      <c r="I205" s="10"/>
      <c r="J205" s="10"/>
      <c r="K205" s="10"/>
      <c r="L205" s="10"/>
    </row>
    <row r="206" ht="18" spans="1:12">
      <c r="A206" s="6">
        <v>204</v>
      </c>
      <c r="B206" s="11" t="s">
        <v>449</v>
      </c>
      <c r="C206" s="11" t="s">
        <v>437</v>
      </c>
      <c r="D206" s="12" t="s">
        <v>450</v>
      </c>
      <c r="E206" s="9">
        <f t="shared" si="3"/>
        <v>3</v>
      </c>
      <c r="F206" s="10"/>
      <c r="G206" s="10"/>
      <c r="H206" s="10"/>
      <c r="I206" s="10"/>
      <c r="J206" s="10"/>
      <c r="K206" s="10"/>
      <c r="L206" s="10"/>
    </row>
    <row r="207" ht="53" spans="1:12">
      <c r="A207" s="6">
        <v>205</v>
      </c>
      <c r="B207" s="11" t="s">
        <v>451</v>
      </c>
      <c r="C207" s="11" t="s">
        <v>15</v>
      </c>
      <c r="D207" s="12" t="s">
        <v>452</v>
      </c>
      <c r="E207" s="9">
        <f t="shared" si="3"/>
        <v>16</v>
      </c>
      <c r="F207" s="10">
        <v>1</v>
      </c>
      <c r="G207" s="10"/>
      <c r="H207" s="10"/>
      <c r="I207" s="10"/>
      <c r="J207" s="10"/>
      <c r="K207" s="10"/>
      <c r="L207" s="10"/>
    </row>
    <row r="208" ht="36" spans="1:12">
      <c r="A208" s="6">
        <v>206</v>
      </c>
      <c r="B208" s="11" t="s">
        <v>453</v>
      </c>
      <c r="C208" s="11" t="s">
        <v>437</v>
      </c>
      <c r="D208" s="12" t="s">
        <v>454</v>
      </c>
      <c r="E208" s="9">
        <f t="shared" si="3"/>
        <v>9</v>
      </c>
      <c r="F208" s="10"/>
      <c r="G208" s="10"/>
      <c r="H208" s="10"/>
      <c r="I208" s="10"/>
      <c r="J208" s="10"/>
      <c r="K208" s="10"/>
      <c r="L208" s="10"/>
    </row>
    <row r="209" ht="18" spans="1:14">
      <c r="A209" s="6">
        <v>207</v>
      </c>
      <c r="B209" s="11" t="s">
        <v>455</v>
      </c>
      <c r="C209" s="11" t="s">
        <v>15</v>
      </c>
      <c r="D209" s="12" t="s">
        <v>456</v>
      </c>
      <c r="E209" s="9">
        <f t="shared" si="3"/>
        <v>3</v>
      </c>
      <c r="F209" s="10"/>
      <c r="G209" s="10"/>
      <c r="H209" s="10">
        <v>1</v>
      </c>
      <c r="I209" s="10"/>
      <c r="J209" s="10"/>
      <c r="K209" s="10"/>
      <c r="L209" s="10"/>
    </row>
    <row r="210" ht="36" spans="1:14">
      <c r="A210" s="6">
        <v>208</v>
      </c>
      <c r="B210" s="11" t="s">
        <v>457</v>
      </c>
      <c r="C210" s="11" t="s">
        <v>437</v>
      </c>
      <c r="D210" s="12" t="s">
        <v>458</v>
      </c>
      <c r="E210" s="9">
        <f t="shared" si="3"/>
        <v>7</v>
      </c>
      <c r="F210" s="10"/>
      <c r="G210" s="10"/>
      <c r="H210" s="10"/>
      <c r="I210" s="10"/>
      <c r="J210" s="10"/>
      <c r="K210" s="10"/>
      <c r="L210" s="10"/>
    </row>
    <row r="211" ht="71" spans="1:14">
      <c r="A211" s="6">
        <v>209</v>
      </c>
      <c r="B211" s="11" t="s">
        <v>459</v>
      </c>
      <c r="C211" s="11" t="s">
        <v>15</v>
      </c>
      <c r="D211" s="12" t="s">
        <v>460</v>
      </c>
      <c r="E211" s="9">
        <f t="shared" si="3"/>
        <v>24</v>
      </c>
      <c r="F211" s="10">
        <v>1</v>
      </c>
      <c r="G211" s="10"/>
      <c r="H211" s="10"/>
      <c r="I211" s="10"/>
      <c r="J211" s="10"/>
      <c r="K211" s="10"/>
      <c r="L211" s="10"/>
    </row>
    <row r="212" ht="18" spans="1:14">
      <c r="A212" s="6">
        <v>210</v>
      </c>
      <c r="B212" s="11" t="s">
        <v>461</v>
      </c>
      <c r="C212" s="11" t="s">
        <v>437</v>
      </c>
      <c r="D212" s="12" t="s">
        <v>462</v>
      </c>
      <c r="E212" s="9">
        <f t="shared" si="3"/>
        <v>1</v>
      </c>
      <c r="F212" s="10"/>
      <c r="G212" s="10"/>
      <c r="H212" s="10"/>
      <c r="I212" s="10"/>
      <c r="J212" s="10"/>
      <c r="K212" s="10"/>
      <c r="L212" s="10"/>
    </row>
    <row r="213" ht="36" spans="1:14">
      <c r="A213" s="6">
        <v>211</v>
      </c>
      <c r="B213" s="11" t="s">
        <v>463</v>
      </c>
      <c r="C213" s="11" t="s">
        <v>15</v>
      </c>
      <c r="D213" s="12" t="s">
        <v>464</v>
      </c>
      <c r="E213" s="9">
        <f t="shared" si="3"/>
        <v>12</v>
      </c>
      <c r="F213" s="10">
        <v>1</v>
      </c>
      <c r="G213" s="10"/>
      <c r="H213" s="10"/>
      <c r="I213" s="10"/>
      <c r="J213" s="10"/>
      <c r="K213" s="10"/>
      <c r="L213" s="10"/>
    </row>
    <row r="214" ht="18" spans="1:14">
      <c r="A214" s="6">
        <v>212</v>
      </c>
      <c r="B214" s="11" t="s">
        <v>465</v>
      </c>
      <c r="C214" s="11" t="s">
        <v>437</v>
      </c>
      <c r="D214" s="12" t="s">
        <v>466</v>
      </c>
      <c r="E214" s="9">
        <f t="shared" si="3"/>
        <v>2</v>
      </c>
      <c r="F214" s="10"/>
      <c r="G214" s="10"/>
      <c r="H214" s="10"/>
      <c r="I214" s="10"/>
      <c r="J214" s="10"/>
      <c r="K214" s="10"/>
      <c r="L214" s="10"/>
    </row>
    <row r="215" ht="18" spans="1:14">
      <c r="A215" s="6">
        <v>213</v>
      </c>
      <c r="B215" s="11" t="s">
        <v>467</v>
      </c>
      <c r="C215" s="11" t="s">
        <v>15</v>
      </c>
      <c r="D215" s="12" t="s">
        <v>468</v>
      </c>
      <c r="E215" s="9">
        <f t="shared" si="3"/>
        <v>7</v>
      </c>
      <c r="F215" s="10"/>
      <c r="G215" s="10"/>
      <c r="H215" s="10"/>
      <c r="I215" s="10"/>
      <c r="J215" s="10"/>
      <c r="K215" s="10"/>
      <c r="L215" s="10">
        <v>1</v>
      </c>
    </row>
    <row r="216" ht="18" spans="1:14">
      <c r="A216" s="6">
        <v>214</v>
      </c>
      <c r="B216" s="11" t="s">
        <v>469</v>
      </c>
      <c r="C216" s="11" t="s">
        <v>357</v>
      </c>
      <c r="D216" s="12" t="s">
        <v>470</v>
      </c>
      <c r="E216" s="9">
        <f t="shared" si="3"/>
        <v>1</v>
      </c>
      <c r="F216" s="10"/>
      <c r="G216" s="10"/>
      <c r="H216" s="10"/>
      <c r="I216" s="10"/>
      <c r="J216" s="10"/>
      <c r="K216" s="10"/>
      <c r="L216" s="10"/>
    </row>
    <row r="217" ht="53" spans="1:14">
      <c r="A217" s="6">
        <v>215</v>
      </c>
      <c r="B217" s="11" t="s">
        <v>471</v>
      </c>
      <c r="C217" s="11" t="s">
        <v>15</v>
      </c>
      <c r="D217" s="12" t="s">
        <v>472</v>
      </c>
      <c r="E217" s="9">
        <f t="shared" si="3"/>
        <v>16</v>
      </c>
      <c r="F217" s="10"/>
      <c r="G217" s="10"/>
      <c r="H217" s="10">
        <v>1</v>
      </c>
      <c r="I217" s="10"/>
      <c r="J217" s="10"/>
      <c r="K217" s="10"/>
      <c r="L217" s="10"/>
      <c r="N217" s="18" t="s">
        <v>473</v>
      </c>
    </row>
    <row r="218" ht="36" spans="1:14">
      <c r="A218" s="6">
        <v>216</v>
      </c>
      <c r="B218" s="11" t="s">
        <v>474</v>
      </c>
      <c r="C218" s="11" t="s">
        <v>437</v>
      </c>
      <c r="D218" s="12" t="s">
        <v>475</v>
      </c>
      <c r="E218" s="9">
        <f t="shared" si="3"/>
        <v>8</v>
      </c>
      <c r="F218" s="10"/>
      <c r="G218" s="10"/>
      <c r="H218" s="10"/>
      <c r="I218" s="10"/>
      <c r="J218" s="10"/>
      <c r="K218" s="10"/>
      <c r="L218" s="10"/>
    </row>
    <row r="219" ht="36" spans="1:14">
      <c r="A219" s="6">
        <v>217</v>
      </c>
      <c r="B219" s="11" t="s">
        <v>476</v>
      </c>
      <c r="C219" s="11" t="s">
        <v>15</v>
      </c>
      <c r="D219" s="12" t="s">
        <v>477</v>
      </c>
      <c r="E219" s="9">
        <f t="shared" si="3"/>
        <v>8</v>
      </c>
      <c r="F219" s="10"/>
      <c r="G219" s="10"/>
      <c r="H219" s="10"/>
      <c r="I219" s="10"/>
      <c r="J219" s="10"/>
      <c r="K219" s="10"/>
      <c r="L219" s="10">
        <v>1</v>
      </c>
    </row>
    <row r="220" ht="18" spans="1:14">
      <c r="A220" s="6">
        <v>218</v>
      </c>
      <c r="B220" s="11" t="s">
        <v>478</v>
      </c>
      <c r="C220" s="11" t="s">
        <v>357</v>
      </c>
      <c r="D220" s="12" t="s">
        <v>366</v>
      </c>
      <c r="E220" s="9">
        <f t="shared" si="3"/>
        <v>1</v>
      </c>
      <c r="F220" s="10"/>
      <c r="G220" s="10"/>
      <c r="H220" s="10"/>
      <c r="I220" s="10"/>
      <c r="J220" s="10"/>
      <c r="K220" s="10"/>
      <c r="L220" s="10"/>
    </row>
    <row r="221" ht="159" spans="1:14">
      <c r="A221" s="6">
        <v>219</v>
      </c>
      <c r="B221" s="11" t="s">
        <v>479</v>
      </c>
      <c r="C221" s="11" t="s">
        <v>15</v>
      </c>
      <c r="D221" s="12" t="s">
        <v>480</v>
      </c>
      <c r="E221" s="9">
        <f t="shared" si="3"/>
        <v>57</v>
      </c>
      <c r="F221" s="10"/>
      <c r="G221" s="10"/>
      <c r="H221" s="10"/>
      <c r="I221" s="10"/>
      <c r="J221" s="10"/>
      <c r="K221" s="10"/>
      <c r="L221" s="10"/>
    </row>
    <row r="222" ht="18" spans="1:14">
      <c r="A222" s="6">
        <v>220</v>
      </c>
      <c r="B222" s="11" t="s">
        <v>481</v>
      </c>
      <c r="C222" s="11" t="s">
        <v>346</v>
      </c>
      <c r="D222" s="12" t="s">
        <v>482</v>
      </c>
      <c r="E222" s="9">
        <f t="shared" si="3"/>
        <v>2</v>
      </c>
      <c r="F222" s="10"/>
      <c r="G222" s="10"/>
      <c r="H222" s="10"/>
      <c r="I222" s="10"/>
      <c r="J222" s="10"/>
      <c r="K222" s="10"/>
      <c r="L222" s="10"/>
    </row>
    <row r="223" ht="36" spans="1:14">
      <c r="A223" s="6">
        <v>221</v>
      </c>
      <c r="B223" s="11" t="s">
        <v>483</v>
      </c>
      <c r="C223" s="11" t="s">
        <v>15</v>
      </c>
      <c r="D223" s="12" t="s">
        <v>484</v>
      </c>
      <c r="E223" s="9">
        <f t="shared" si="3"/>
        <v>11</v>
      </c>
      <c r="F223" s="10"/>
      <c r="G223" s="10"/>
      <c r="H223" s="10"/>
      <c r="I223" s="10"/>
      <c r="J223" s="10"/>
      <c r="K223" s="10"/>
      <c r="L223" s="10"/>
    </row>
    <row r="224" ht="71" spans="1:14">
      <c r="A224" s="6">
        <v>222</v>
      </c>
      <c r="B224" s="11" t="s">
        <v>485</v>
      </c>
      <c r="C224" s="11" t="s">
        <v>346</v>
      </c>
      <c r="D224" s="12" t="s">
        <v>486</v>
      </c>
      <c r="E224" s="9">
        <f t="shared" si="3"/>
        <v>25</v>
      </c>
      <c r="F224" s="10"/>
      <c r="G224" s="10"/>
      <c r="H224" s="10"/>
      <c r="I224" s="10"/>
      <c r="J224" s="10"/>
      <c r="K224" s="10"/>
      <c r="L224" s="10"/>
    </row>
    <row r="225" ht="124" spans="1:12">
      <c r="A225" s="6">
        <v>223</v>
      </c>
      <c r="B225" s="11" t="s">
        <v>487</v>
      </c>
      <c r="C225" s="11" t="s">
        <v>15</v>
      </c>
      <c r="D225" s="12" t="s">
        <v>488</v>
      </c>
      <c r="E225" s="9">
        <f t="shared" si="3"/>
        <v>43</v>
      </c>
      <c r="F225" s="10"/>
      <c r="G225" s="10"/>
      <c r="H225" s="10">
        <v>1</v>
      </c>
      <c r="I225" s="10"/>
      <c r="J225" s="10"/>
      <c r="K225" s="10"/>
      <c r="L225" s="10"/>
    </row>
    <row r="226" ht="18" spans="1:12">
      <c r="A226" s="6">
        <v>224</v>
      </c>
      <c r="B226" s="11" t="s">
        <v>489</v>
      </c>
      <c r="C226" s="11" t="s">
        <v>346</v>
      </c>
      <c r="D226" s="12" t="s">
        <v>490</v>
      </c>
      <c r="E226" s="9">
        <f t="shared" si="3"/>
        <v>2</v>
      </c>
      <c r="F226" s="10"/>
      <c r="G226" s="10"/>
      <c r="H226" s="10"/>
      <c r="I226" s="10"/>
      <c r="J226" s="10"/>
      <c r="K226" s="10"/>
      <c r="L226" s="10"/>
    </row>
    <row r="227" ht="124" spans="1:12">
      <c r="A227" s="6">
        <v>225</v>
      </c>
      <c r="B227" s="11" t="s">
        <v>491</v>
      </c>
      <c r="C227" s="11" t="s">
        <v>15</v>
      </c>
      <c r="D227" s="12" t="s">
        <v>492</v>
      </c>
      <c r="E227" s="9">
        <f t="shared" si="3"/>
        <v>47</v>
      </c>
      <c r="F227" s="10"/>
      <c r="G227" s="10"/>
      <c r="H227" s="10"/>
      <c r="I227" s="10"/>
      <c r="J227" s="10"/>
      <c r="K227" s="10"/>
      <c r="L227" s="10"/>
    </row>
    <row r="228" ht="36" spans="1:12">
      <c r="A228" s="6">
        <v>226</v>
      </c>
      <c r="B228" s="11" t="s">
        <v>493</v>
      </c>
      <c r="C228" s="11" t="s">
        <v>494</v>
      </c>
      <c r="D228" s="12" t="s">
        <v>495</v>
      </c>
      <c r="E228" s="9">
        <f t="shared" si="3"/>
        <v>8</v>
      </c>
      <c r="F228" s="10"/>
      <c r="G228" s="10"/>
      <c r="H228" s="10"/>
      <c r="I228" s="10"/>
      <c r="J228" s="10"/>
      <c r="K228" s="10"/>
      <c r="L228" s="10"/>
    </row>
    <row r="229" ht="53" spans="1:12">
      <c r="A229" s="6">
        <v>227</v>
      </c>
      <c r="B229" s="11" t="s">
        <v>496</v>
      </c>
      <c r="C229" s="11" t="s">
        <v>15</v>
      </c>
      <c r="D229" s="12" t="s">
        <v>497</v>
      </c>
      <c r="E229" s="9">
        <f t="shared" si="3"/>
        <v>17</v>
      </c>
      <c r="F229" s="10"/>
      <c r="G229" s="10"/>
      <c r="H229" s="10">
        <v>1</v>
      </c>
      <c r="I229" s="10"/>
      <c r="J229" s="10"/>
      <c r="K229" s="10"/>
      <c r="L229" s="10"/>
    </row>
    <row r="230" ht="18" spans="1:12">
      <c r="A230" s="6">
        <v>228</v>
      </c>
      <c r="B230" s="11" t="s">
        <v>498</v>
      </c>
      <c r="C230" s="11" t="s">
        <v>494</v>
      </c>
      <c r="D230" s="12" t="s">
        <v>422</v>
      </c>
      <c r="E230" s="9">
        <f t="shared" si="3"/>
        <v>3</v>
      </c>
      <c r="F230" s="10"/>
      <c r="G230" s="10"/>
      <c r="H230" s="10"/>
      <c r="I230" s="10"/>
      <c r="J230" s="10"/>
      <c r="K230" s="10"/>
      <c r="L230" s="10"/>
    </row>
    <row r="231" ht="53" spans="1:12">
      <c r="A231" s="6">
        <v>229</v>
      </c>
      <c r="B231" s="11" t="s">
        <v>499</v>
      </c>
      <c r="C231" s="11" t="s">
        <v>15</v>
      </c>
      <c r="D231" s="12" t="s">
        <v>500</v>
      </c>
      <c r="E231" s="9">
        <f t="shared" si="3"/>
        <v>18</v>
      </c>
      <c r="F231" s="10">
        <v>1</v>
      </c>
      <c r="G231" s="10"/>
      <c r="H231" s="10"/>
      <c r="I231" s="10"/>
      <c r="J231" s="10"/>
      <c r="K231" s="10"/>
      <c r="L231" s="10"/>
    </row>
    <row r="232" ht="18" spans="1:12">
      <c r="A232" s="6">
        <v>230</v>
      </c>
      <c r="B232" s="11" t="s">
        <v>501</v>
      </c>
      <c r="C232" s="11" t="s">
        <v>494</v>
      </c>
      <c r="D232" s="12" t="s">
        <v>502</v>
      </c>
      <c r="E232" s="9">
        <f t="shared" si="3"/>
        <v>4</v>
      </c>
      <c r="F232" s="10"/>
      <c r="G232" s="10"/>
      <c r="H232" s="10"/>
      <c r="I232" s="10"/>
      <c r="J232" s="10"/>
      <c r="K232" s="10"/>
      <c r="L232" s="10"/>
    </row>
    <row r="233" ht="36" spans="1:12">
      <c r="A233" s="6">
        <v>231</v>
      </c>
      <c r="B233" s="11" t="s">
        <v>503</v>
      </c>
      <c r="C233" s="11" t="s">
        <v>504</v>
      </c>
      <c r="D233" s="12" t="s">
        <v>505</v>
      </c>
      <c r="E233" s="9">
        <f t="shared" si="3"/>
        <v>10</v>
      </c>
      <c r="F233" s="10"/>
      <c r="G233" s="10"/>
      <c r="H233" s="10"/>
      <c r="I233" s="10"/>
      <c r="J233" s="10"/>
      <c r="K233" s="10"/>
      <c r="L233" s="10"/>
    </row>
    <row r="234" ht="53" spans="1:12">
      <c r="A234" s="6">
        <v>232</v>
      </c>
      <c r="B234" s="11" t="s">
        <v>506</v>
      </c>
      <c r="C234" s="11" t="s">
        <v>15</v>
      </c>
      <c r="D234" s="12" t="s">
        <v>507</v>
      </c>
      <c r="E234" s="9">
        <f t="shared" si="3"/>
        <v>15</v>
      </c>
      <c r="F234" s="10"/>
      <c r="G234" s="10"/>
      <c r="H234" s="10"/>
      <c r="I234" s="10"/>
      <c r="J234" s="10"/>
      <c r="K234" s="10"/>
      <c r="L234" s="10"/>
    </row>
    <row r="235" ht="18" spans="1:12">
      <c r="A235" s="6">
        <v>233</v>
      </c>
      <c r="B235" s="11" t="s">
        <v>508</v>
      </c>
      <c r="C235" s="11" t="s">
        <v>60</v>
      </c>
      <c r="D235" s="12" t="s">
        <v>509</v>
      </c>
      <c r="E235" s="9">
        <f t="shared" si="3"/>
        <v>6</v>
      </c>
      <c r="F235" s="10"/>
      <c r="G235" s="10"/>
      <c r="H235" s="10"/>
      <c r="I235" s="10"/>
      <c r="J235" s="10"/>
      <c r="K235" s="10"/>
      <c r="L235" s="10"/>
    </row>
    <row r="236" ht="18" spans="1:12">
      <c r="A236" s="6">
        <v>234</v>
      </c>
      <c r="B236" s="11" t="s">
        <v>510</v>
      </c>
      <c r="C236" s="11" t="s">
        <v>15</v>
      </c>
      <c r="D236" s="12" t="s">
        <v>511</v>
      </c>
      <c r="E236" s="9">
        <f t="shared" si="3"/>
        <v>4</v>
      </c>
      <c r="F236" s="10"/>
      <c r="G236" s="10"/>
      <c r="H236" s="10">
        <v>1</v>
      </c>
      <c r="I236" s="10"/>
      <c r="J236" s="10"/>
      <c r="K236" s="10"/>
      <c r="L236" s="10"/>
    </row>
    <row r="237" ht="18" spans="1:12">
      <c r="A237" s="6">
        <v>235</v>
      </c>
      <c r="B237" s="11" t="s">
        <v>512</v>
      </c>
      <c r="C237" s="11" t="s">
        <v>60</v>
      </c>
      <c r="D237" s="12" t="s">
        <v>513</v>
      </c>
      <c r="E237" s="9">
        <f t="shared" si="3"/>
        <v>7</v>
      </c>
      <c r="F237" s="10"/>
      <c r="G237" s="10"/>
      <c r="H237" s="10"/>
      <c r="I237" s="10"/>
      <c r="J237" s="10"/>
      <c r="K237" s="10"/>
      <c r="L237" s="10"/>
    </row>
    <row r="238" ht="53" spans="1:12">
      <c r="A238" s="6">
        <v>236</v>
      </c>
      <c r="B238" s="11" t="s">
        <v>514</v>
      </c>
      <c r="C238" s="11" t="s">
        <v>15</v>
      </c>
      <c r="D238" s="12" t="s">
        <v>515</v>
      </c>
      <c r="E238" s="9">
        <f t="shared" si="3"/>
        <v>16</v>
      </c>
      <c r="F238" s="10">
        <v>1</v>
      </c>
      <c r="G238" s="10"/>
      <c r="H238" s="10"/>
      <c r="I238" s="10"/>
      <c r="J238" s="10"/>
      <c r="K238" s="10"/>
      <c r="L238" s="10"/>
    </row>
    <row r="239" ht="18" spans="1:12">
      <c r="A239" s="6">
        <v>237</v>
      </c>
      <c r="B239" s="11" t="s">
        <v>516</v>
      </c>
      <c r="C239" s="11" t="s">
        <v>60</v>
      </c>
      <c r="D239" s="12" t="s">
        <v>517</v>
      </c>
      <c r="E239" s="9">
        <f t="shared" si="3"/>
        <v>4</v>
      </c>
      <c r="F239" s="10"/>
      <c r="G239" s="10"/>
      <c r="H239" s="10"/>
      <c r="I239" s="10"/>
      <c r="J239" s="10"/>
      <c r="K239" s="10"/>
      <c r="L239" s="10"/>
    </row>
    <row r="240" ht="71" spans="1:12">
      <c r="A240" s="6">
        <v>238</v>
      </c>
      <c r="B240" s="11" t="s">
        <v>518</v>
      </c>
      <c r="C240" s="11" t="s">
        <v>15</v>
      </c>
      <c r="D240" s="12" t="s">
        <v>519</v>
      </c>
      <c r="E240" s="9">
        <f t="shared" si="3"/>
        <v>19</v>
      </c>
      <c r="F240" s="10">
        <v>1</v>
      </c>
      <c r="G240" s="10"/>
      <c r="H240" s="10"/>
      <c r="I240" s="10"/>
      <c r="J240" s="10"/>
      <c r="K240" s="10"/>
      <c r="L240" s="10"/>
    </row>
    <row r="241" ht="18" spans="1:13">
      <c r="A241" s="6">
        <v>239</v>
      </c>
      <c r="B241" s="11" t="s">
        <v>520</v>
      </c>
      <c r="C241" s="11" t="s">
        <v>60</v>
      </c>
      <c r="D241" s="12" t="s">
        <v>521</v>
      </c>
      <c r="E241" s="9">
        <f t="shared" si="3"/>
        <v>3</v>
      </c>
      <c r="F241" s="10"/>
      <c r="G241" s="10"/>
      <c r="H241" s="10"/>
      <c r="I241" s="10"/>
      <c r="J241" s="10"/>
      <c r="K241" s="10"/>
      <c r="L241" s="10"/>
    </row>
    <row r="242" ht="106" spans="1:13">
      <c r="A242" s="6">
        <v>240</v>
      </c>
      <c r="B242" s="11" t="s">
        <v>522</v>
      </c>
      <c r="C242" s="11" t="s">
        <v>15</v>
      </c>
      <c r="D242" s="12" t="s">
        <v>523</v>
      </c>
      <c r="E242" s="9">
        <f t="shared" si="3"/>
        <v>39</v>
      </c>
      <c r="F242" s="10"/>
      <c r="G242" s="10"/>
      <c r="H242" s="10"/>
      <c r="I242" s="10"/>
      <c r="J242" s="10"/>
      <c r="K242" s="10"/>
      <c r="L242" s="10">
        <v>1</v>
      </c>
    </row>
    <row r="243" ht="18" spans="1:13">
      <c r="A243" s="6">
        <v>241</v>
      </c>
      <c r="B243" s="11" t="s">
        <v>524</v>
      </c>
      <c r="C243" s="11" t="s">
        <v>346</v>
      </c>
      <c r="D243" s="12" t="s">
        <v>525</v>
      </c>
      <c r="E243" s="9">
        <f t="shared" si="3"/>
        <v>6</v>
      </c>
      <c r="F243" s="10"/>
      <c r="G243" s="10"/>
      <c r="H243" s="10"/>
      <c r="I243" s="10"/>
      <c r="J243" s="10"/>
      <c r="K243" s="10"/>
      <c r="L243" s="10"/>
    </row>
    <row r="244" ht="71" spans="1:13">
      <c r="A244" s="6">
        <v>242</v>
      </c>
      <c r="B244" s="11" t="s">
        <v>526</v>
      </c>
      <c r="C244" s="11" t="s">
        <v>15</v>
      </c>
      <c r="D244" s="12" t="s">
        <v>527</v>
      </c>
      <c r="E244" s="9">
        <f t="shared" si="3"/>
        <v>26</v>
      </c>
      <c r="F244" s="10"/>
      <c r="G244" s="10"/>
      <c r="H244" s="10"/>
      <c r="I244" s="10"/>
      <c r="J244" s="10"/>
      <c r="K244" s="10"/>
      <c r="L244" s="10"/>
    </row>
    <row r="245" ht="18" spans="1:13">
      <c r="A245" s="6">
        <v>243</v>
      </c>
      <c r="B245" s="11" t="s">
        <v>528</v>
      </c>
      <c r="C245" s="11" t="s">
        <v>357</v>
      </c>
      <c r="D245" s="12" t="s">
        <v>529</v>
      </c>
      <c r="E245" s="9">
        <f t="shared" si="3"/>
        <v>4</v>
      </c>
      <c r="F245" s="10"/>
      <c r="G245" s="10"/>
      <c r="H245" s="10"/>
      <c r="I245" s="10"/>
      <c r="J245" s="10"/>
      <c r="K245" s="10"/>
      <c r="L245" s="10"/>
    </row>
    <row r="246" ht="409.5" spans="1:13">
      <c r="A246" s="6">
        <v>244</v>
      </c>
      <c r="B246" s="11" t="s">
        <v>530</v>
      </c>
      <c r="C246" s="11" t="s">
        <v>15</v>
      </c>
      <c r="D246" s="12" t="s">
        <v>531</v>
      </c>
      <c r="E246" s="9">
        <f t="shared" si="3"/>
        <v>289</v>
      </c>
      <c r="F246" s="10"/>
      <c r="G246" s="10"/>
      <c r="H246" s="10"/>
      <c r="I246" s="10"/>
      <c r="J246" s="10"/>
      <c r="K246" s="10"/>
      <c r="L246" s="10"/>
    </row>
    <row r="247" spans="1:13">
      <c r="A247" s="10"/>
      <c r="B247" s="11"/>
      <c r="C247" s="11"/>
      <c r="D247" s="12"/>
      <c r="E247" s="10"/>
      <c r="F247" s="10"/>
      <c r="G247" s="10"/>
      <c r="H247" s="10"/>
      <c r="I247" s="10"/>
      <c r="J247" s="10"/>
      <c r="K247" s="10"/>
      <c r="L247" s="10"/>
    </row>
    <row r="248" spans="1:13">
      <c r="A248" s="10"/>
      <c r="B248" s="11"/>
      <c r="C248" s="11"/>
      <c r="D248" s="12"/>
      <c r="E248" s="10"/>
      <c r="F248" s="10"/>
      <c r="G248" s="10"/>
      <c r="H248" s="10"/>
      <c r="I248" s="10"/>
      <c r="J248" s="10"/>
      <c r="K248" s="10"/>
      <c r="L248" s="10"/>
    </row>
    <row r="249" ht="18" spans="1:13">
      <c r="A249" s="10"/>
      <c r="B249" s="11"/>
      <c r="C249" s="11"/>
      <c r="D249" s="19" t="s">
        <v>532</v>
      </c>
      <c r="E249" s="20">
        <f>SUM(E3:E246)</f>
        <v>3852</v>
      </c>
      <c r="F249" s="20">
        <f t="shared" ref="F249:M249" si="4">SUM(F3:F246)</f>
        <v>37</v>
      </c>
      <c r="G249" s="20">
        <f t="shared" si="4"/>
        <v>4</v>
      </c>
      <c r="H249" s="20">
        <f t="shared" si="4"/>
        <v>22</v>
      </c>
      <c r="I249" s="20">
        <f t="shared" si="4"/>
        <v>2</v>
      </c>
      <c r="J249" s="20">
        <f t="shared" si="4"/>
        <v>0</v>
      </c>
      <c r="K249" s="20">
        <f t="shared" si="4"/>
        <v>7</v>
      </c>
      <c r="L249" s="20">
        <f t="shared" si="4"/>
        <v>27</v>
      </c>
      <c r="M249" s="20">
        <f t="shared" si="4"/>
        <v>0</v>
      </c>
    </row>
    <row r="250" spans="1:13">
      <c r="A250" s="10"/>
      <c r="B250" s="11"/>
      <c r="C250" s="11"/>
      <c r="D250" s="21" t="s">
        <v>533</v>
      </c>
      <c r="E250" s="22">
        <f>SUMIF(C3:C246,"Teacher",E3:E246)</f>
        <v>3154</v>
      </c>
      <c r="F250" s="10"/>
      <c r="G250" s="10"/>
      <c r="H250" s="10"/>
      <c r="I250" s="10"/>
      <c r="J250" s="10"/>
      <c r="K250" s="10"/>
      <c r="L250" s="10"/>
    </row>
    <row r="251" spans="1:13">
      <c r="A251" s="10"/>
      <c r="B251" s="11"/>
      <c r="C251" s="11"/>
      <c r="D251" s="21" t="s">
        <v>534</v>
      </c>
      <c r="E251" s="23">
        <f>E249-E250</f>
        <v>698</v>
      </c>
      <c r="F251" s="10"/>
      <c r="G251" s="10"/>
      <c r="H251" s="10"/>
      <c r="I251" s="10"/>
      <c r="J251" s="10"/>
      <c r="K251" s="10"/>
      <c r="L251" s="10"/>
    </row>
    <row r="252" spans="1:13">
      <c r="A252" s="10"/>
      <c r="B252" s="11"/>
      <c r="C252" s="11"/>
      <c r="D252" s="21" t="s">
        <v>535</v>
      </c>
      <c r="E252" s="22">
        <v>244</v>
      </c>
      <c r="F252" s="10"/>
      <c r="G252" s="10"/>
      <c r="H252" s="10"/>
      <c r="I252" s="10"/>
      <c r="J252" s="10"/>
      <c r="K252" s="10"/>
      <c r="L252" s="10"/>
    </row>
    <row r="253" spans="1:13">
      <c r="A253" s="24"/>
      <c r="B253" s="25"/>
      <c r="C253" s="25"/>
      <c r="D253" s="21" t="s">
        <v>536</v>
      </c>
      <c r="E253" s="22">
        <f>COUNTIF(C3:C246,"Teacher")</f>
        <v>121</v>
      </c>
      <c r="F253" s="10"/>
      <c r="G253" s="10"/>
      <c r="H253" s="10"/>
      <c r="I253" s="10"/>
      <c r="J253" s="10"/>
      <c r="K253" s="10"/>
      <c r="L253" s="10"/>
    </row>
    <row r="254" spans="1:13">
      <c r="A254" s="24"/>
      <c r="B254" s="25"/>
      <c r="C254" s="25"/>
      <c r="D254" s="21" t="s">
        <v>537</v>
      </c>
      <c r="E254" s="22">
        <f>E252-E253</f>
        <v>123</v>
      </c>
      <c r="F254" s="10"/>
      <c r="G254" s="10"/>
      <c r="H254" s="10"/>
      <c r="I254" s="10"/>
      <c r="J254" s="10"/>
      <c r="K254" s="10"/>
      <c r="L254" s="10"/>
    </row>
    <row r="255" spans="1:13">
      <c r="A255" s="24"/>
      <c r="B255" s="25"/>
      <c r="C255" s="25"/>
      <c r="D255" s="15"/>
      <c r="E255" s="24"/>
      <c r="F255" s="10"/>
      <c r="G255" s="10"/>
      <c r="H255" s="10"/>
      <c r="I255" s="10"/>
      <c r="J255" s="10"/>
      <c r="K255" s="10"/>
      <c r="L255" s="10"/>
    </row>
    <row r="256" spans="1:13">
      <c r="A256" s="24"/>
      <c r="B256" s="25"/>
      <c r="C256" s="25"/>
      <c r="D256" s="15"/>
      <c r="E256" s="24"/>
      <c r="F256" s="10"/>
      <c r="G256" s="10"/>
      <c r="H256" s="10"/>
      <c r="I256" s="10"/>
      <c r="J256" s="10"/>
      <c r="K256" s="10"/>
      <c r="L256" s="10"/>
    </row>
    <row r="257" spans="1:12">
      <c r="A257" s="24"/>
      <c r="B257" s="25"/>
      <c r="C257" s="25"/>
      <c r="D257" s="15"/>
      <c r="E257" s="24"/>
      <c r="F257" s="10"/>
      <c r="G257" s="10"/>
      <c r="H257" s="10"/>
      <c r="I257" s="10"/>
      <c r="J257" s="10"/>
      <c r="K257" s="10"/>
      <c r="L257" s="10"/>
    </row>
    <row r="258" spans="1:12">
      <c r="A258" s="24"/>
      <c r="B258" s="25"/>
      <c r="C258" s="25"/>
      <c r="D258" s="15"/>
      <c r="E258" s="24"/>
      <c r="F258" s="10"/>
      <c r="G258" s="10"/>
      <c r="H258" s="10"/>
      <c r="I258" s="10"/>
      <c r="J258" s="10"/>
      <c r="K258" s="10"/>
      <c r="L258" s="10"/>
    </row>
    <row r="259" spans="1:12">
      <c r="A259" s="24"/>
      <c r="B259" s="25"/>
      <c r="C259" s="25"/>
      <c r="D259" s="15"/>
      <c r="E259" s="24"/>
      <c r="F259" s="10"/>
      <c r="G259" s="10"/>
      <c r="H259" s="10"/>
      <c r="I259" s="10"/>
      <c r="J259" s="10"/>
      <c r="K259" s="10"/>
      <c r="L259" s="10"/>
    </row>
    <row r="260" spans="1:12">
      <c r="A260" s="24"/>
      <c r="B260" s="25"/>
      <c r="C260" s="25"/>
      <c r="D260" s="15"/>
      <c r="E260" s="24"/>
      <c r="F260" s="10"/>
      <c r="G260" s="10"/>
      <c r="H260" s="10"/>
      <c r="I260" s="10"/>
      <c r="J260" s="10"/>
      <c r="K260" s="10"/>
      <c r="L260" s="10"/>
    </row>
    <row r="261" spans="1:12">
      <c r="A261" s="24"/>
      <c r="B261" s="25"/>
      <c r="C261" s="25"/>
      <c r="D261" s="15"/>
      <c r="E261" s="24"/>
      <c r="F261" s="10"/>
      <c r="G261" s="10"/>
      <c r="H261" s="10"/>
      <c r="I261" s="10"/>
      <c r="J261" s="10"/>
      <c r="K261" s="10"/>
      <c r="L261" s="10"/>
    </row>
    <row r="262" spans="1:12">
      <c r="A262" s="24"/>
      <c r="B262" s="25"/>
      <c r="C262" s="25"/>
      <c r="D262" s="15"/>
      <c r="E262" s="24"/>
      <c r="F262" s="10"/>
      <c r="G262" s="10"/>
      <c r="H262" s="10"/>
      <c r="I262" s="10"/>
      <c r="J262" s="10"/>
      <c r="K262" s="10"/>
      <c r="L262" s="10"/>
    </row>
    <row r="263" spans="1:12">
      <c r="A263" s="24"/>
      <c r="B263" s="25"/>
      <c r="C263" s="25"/>
      <c r="D263" s="15"/>
      <c r="E263" s="24"/>
      <c r="F263" s="10"/>
      <c r="G263" s="10"/>
      <c r="H263" s="10"/>
      <c r="I263" s="10"/>
      <c r="J263" s="10"/>
      <c r="K263" s="10"/>
      <c r="L263" s="10"/>
    </row>
    <row r="264" spans="1:12">
      <c r="A264" s="24"/>
      <c r="B264" s="25"/>
      <c r="C264" s="25"/>
      <c r="D264" s="15"/>
      <c r="E264" s="24"/>
      <c r="F264" s="10"/>
      <c r="G264" s="10"/>
      <c r="H264" s="10"/>
      <c r="I264" s="10"/>
      <c r="J264" s="10"/>
      <c r="K264" s="10"/>
      <c r="L264" s="10"/>
    </row>
    <row r="265" spans="1:12">
      <c r="A265" s="24"/>
      <c r="B265" s="25"/>
      <c r="C265" s="25"/>
      <c r="D265" s="15"/>
      <c r="E265" s="24"/>
      <c r="F265" s="10"/>
      <c r="G265" s="10"/>
      <c r="H265" s="10"/>
      <c r="I265" s="10"/>
      <c r="J265" s="10"/>
      <c r="K265" s="10"/>
      <c r="L265" s="10"/>
    </row>
    <row r="266" spans="1:12">
      <c r="A266" s="24"/>
      <c r="B266" s="25"/>
      <c r="C266" s="25"/>
      <c r="D266" s="15"/>
      <c r="E266" s="24"/>
      <c r="F266" s="10"/>
      <c r="G266" s="10"/>
      <c r="H266" s="10"/>
      <c r="I266" s="10"/>
      <c r="J266" s="10"/>
      <c r="K266" s="10"/>
      <c r="L266" s="10"/>
    </row>
    <row r="267" spans="1:12">
      <c r="A267" s="24"/>
      <c r="B267" s="25"/>
      <c r="C267" s="25"/>
      <c r="D267" s="15"/>
      <c r="E267" s="24"/>
      <c r="F267" s="10"/>
      <c r="G267" s="10"/>
      <c r="H267" s="10"/>
      <c r="I267" s="10"/>
      <c r="J267" s="10"/>
      <c r="K267" s="10"/>
      <c r="L267" s="10"/>
    </row>
    <row r="268" spans="1:12">
      <c r="A268" s="24"/>
      <c r="B268" s="25"/>
      <c r="C268" s="25"/>
      <c r="D268" s="15"/>
      <c r="E268" s="24"/>
      <c r="F268" s="10"/>
      <c r="G268" s="10"/>
      <c r="H268" s="10"/>
      <c r="I268" s="10"/>
      <c r="J268" s="10"/>
      <c r="K268" s="10"/>
      <c r="L268" s="10"/>
    </row>
    <row r="269" spans="1:12">
      <c r="A269" s="24"/>
      <c r="B269" s="25"/>
      <c r="C269" s="25"/>
      <c r="D269" s="15"/>
      <c r="E269" s="24"/>
      <c r="F269" s="10"/>
      <c r="G269" s="10"/>
      <c r="H269" s="10"/>
      <c r="I269" s="10"/>
      <c r="J269" s="10"/>
      <c r="K269" s="10"/>
      <c r="L269" s="10"/>
    </row>
    <row r="270" spans="1:12">
      <c r="A270" s="24"/>
      <c r="B270" s="25"/>
      <c r="C270" s="25"/>
      <c r="D270" s="15"/>
      <c r="E270" s="24"/>
      <c r="F270" s="10"/>
      <c r="G270" s="10"/>
      <c r="H270" s="10"/>
      <c r="I270" s="10"/>
      <c r="J270" s="10"/>
      <c r="K270" s="10"/>
      <c r="L270" s="10"/>
    </row>
  </sheetData>
  <mergeCells count="6">
    <mergeCell ref="F1:M1"/>
    <mergeCell ref="A1:A2"/>
    <mergeCell ref="B1:B2"/>
    <mergeCell ref="C1:C2"/>
    <mergeCell ref="D1:D2"/>
    <mergeCell ref="E1:E2"/>
  </mergeCells>
  <pageMargins left="0.7" right="0.7" top="0.75" bottom="0.75" header="0.3" footer="0.3"/>
  <pageSetup paperSize="1"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SubtitleContentTmpl-72724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Fan</cp:lastModifiedBy>
  <dcterms:created xsi:type="dcterms:W3CDTF">2026-05-20T09:27:00Z</dcterms:created>
  <dcterms:modified xsi:type="dcterms:W3CDTF">2026-08-19T09:57:16Z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2052-12.1.26026.26026</vt:lpwstr>
  </property>
  <property fmtid="{D5CDD505-2E9C-101B-9397-08002B2CF9AE}" pid="3" name="CalculationRule">
    <vt:i4>0</vt:i4>
  </property>
  <property fmtid="{D5CDD505-2E9C-101B-9397-08002B2CF9AE}" pid="4" name="ICV">
    <vt:lpwstr>D8976A83A51C83B27C0D856AF8BFD3EC_42</vt:lpwstr>
  </property>
</Properties>
</file>