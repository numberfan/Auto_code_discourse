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4.25编码任务/"/>
    </mc:Choice>
  </mc:AlternateContent>
  <xr:revisionPtr revIDLastSave="6" documentId="8_{5F31EE55-71C3-4143-B232-E0F15B007070}" xr6:coauthVersionLast="47" xr6:coauthVersionMax="47" xr10:uidLastSave="{8F23BEAC-2245-1248-8EDF-EB8E5B4E21AA}"/>
  <bookViews>
    <workbookView xWindow="4440" yWindow="760" windowWidth="24960" windowHeight="16420" xr2:uid="{8A685B7D-2B78-2746-9DEC-627BA12AF6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 l="1"/>
  <c r="G54" i="1"/>
  <c r="H54" i="1"/>
  <c r="I54" i="1"/>
  <c r="J54" i="1"/>
  <c r="K54" i="1"/>
  <c r="L54" i="1"/>
  <c r="M54" i="1"/>
  <c r="E59" i="1"/>
  <c r="E58"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3" i="1"/>
  <c r="E55" i="1" l="1"/>
  <c r="E54" i="1"/>
  <c r="E56" i="1" l="1"/>
</calcChain>
</file>

<file path=xl/sharedStrings.xml><?xml version="1.0" encoding="utf-8"?>
<sst xmlns="http://schemas.openxmlformats.org/spreadsheetml/2006/main" count="170" uniqueCount="131">
  <si>
    <t>Yes.</t>
  </si>
  <si>
    <t>Number</t>
  </si>
  <si>
    <t>Timestamp</t>
  </si>
  <si>
    <t>Speaker</t>
  </si>
  <si>
    <t>Utterance</t>
  </si>
  <si>
    <t xml:space="preserve">Alright, good morning class! </t>
  </si>
  <si>
    <t>00:03-00:05</t>
  </si>
  <si>
    <t>Teacher</t>
  </si>
  <si>
    <t>Classroom</t>
  </si>
  <si>
    <t>00:05-00:15</t>
  </si>
  <si>
    <t>Good morning</t>
  </si>
  <si>
    <t>So, uhm, what do you see? What is this?</t>
  </si>
  <si>
    <t>A fork</t>
  </si>
  <si>
    <t>00:18-00:19</t>
  </si>
  <si>
    <t>A fork! Alright, very good. What do you use a fork for?</t>
  </si>
  <si>
    <t>Eating!</t>
  </si>
  <si>
    <t>Student 2</t>
  </si>
  <si>
    <t>Student 1</t>
  </si>
  <si>
    <t>Student 3</t>
  </si>
  <si>
    <t>Oh, so you move one piece and attack two pieces!</t>
  </si>
  <si>
    <t>Okay it could be a moving chess alright or a strategy in chess! Anyone else? Jay, what do you think?</t>
  </si>
  <si>
    <t>Student 4</t>
  </si>
  <si>
    <t>01:22-01:31</t>
  </si>
  <si>
    <t>Uhm. It could be violence?</t>
  </si>
  <si>
    <t>01:31-01:35</t>
  </si>
  <si>
    <t>01:35-01:49</t>
  </si>
  <si>
    <t>Creative non-fiction</t>
  </si>
  <si>
    <t>01:49-02:32</t>
  </si>
  <si>
    <t>[passing notes]</t>
  </si>
  <si>
    <t>Student 5</t>
  </si>
  <si>
    <t>02:32-02:39</t>
  </si>
  <si>
    <t>02:39-02:40</t>
  </si>
  <si>
    <t>Alright, so uh, Aysis, we have been covering, what is the project we're doing, do you remember?</t>
  </si>
  <si>
    <t xml:space="preserve">So, you're making a </t>
  </si>
  <si>
    <t>05:03-05:14</t>
  </si>
  <si>
    <t>Student 7</t>
  </si>
  <si>
    <t>Student 8</t>
  </si>
  <si>
    <t>Bible.</t>
  </si>
  <si>
    <t>Move in chess?</t>
  </si>
  <si>
    <t>Like, it won't work, you know? </t>
  </si>
  <si>
    <t>Yeah, it doesn't work. </t>
  </si>
  <si>
    <t xml:space="preserve">Hungry. </t>
  </si>
  <si>
    <t xml:space="preserve">Occupation. </t>
  </si>
  <si>
    <t>Student 9</t>
  </si>
  <si>
    <t>05:56-05:58</t>
  </si>
  <si>
    <t>06:06-06:07</t>
  </si>
  <si>
    <t>06:17-06:21</t>
  </si>
  <si>
    <t>Rhetorical</t>
  </si>
  <si>
    <t>07:47-07:48</t>
  </si>
  <si>
    <t>09:28-09:29</t>
  </si>
  <si>
    <t>10:42-10:44</t>
  </si>
  <si>
    <t>10:50-10:52</t>
  </si>
  <si>
    <t>12:19-12:23</t>
  </si>
  <si>
    <t>12:40-12:41</t>
  </si>
  <si>
    <t>16:17-16:21</t>
  </si>
  <si>
    <t>Eating, alright. Remember in ALP, we have the literal meaning of the fork is something we use to eat with, but can we think of the figurative meaning of a fork? What could a fork mean, symbolically? We talk about symbolism right? Anything? Come on ideas. Harry, what do you think?</t>
  </si>
  <si>
    <t>A move in  chess, what is that? How do you play it?</t>
  </si>
  <si>
    <t>00:15-00:18</t>
  </si>
  <si>
    <t>00:19-00:23</t>
  </si>
  <si>
    <t>00:23-00:24</t>
  </si>
  <si>
    <t>00:24-00:49</t>
  </si>
  <si>
    <t>00:49-00:54</t>
  </si>
  <si>
    <t>00:54-01:12</t>
  </si>
  <si>
    <t>01:12-01:15</t>
  </si>
  <si>
    <t>01:15-01:17</t>
  </si>
  <si>
    <t>01:17-01:22</t>
  </si>
  <si>
    <t xml:space="preserve">Four. Multiple. </t>
  </si>
  <si>
    <t>Roads in life</t>
  </si>
  <si>
    <t>Multiple what?</t>
  </si>
  <si>
    <t>Multiple decisions.</t>
  </si>
  <si>
    <t>04:57-04:58</t>
  </si>
  <si>
    <t>04:55-04:57</t>
  </si>
  <si>
    <t>04:59-05:01</t>
  </si>
  <si>
    <t>05:01-05:03</t>
  </si>
  <si>
    <t>04:58-04:59</t>
  </si>
  <si>
    <t>Student</t>
  </si>
  <si>
    <t>Noun.</t>
  </si>
  <si>
    <t>06:46-06:47</t>
  </si>
  <si>
    <t xml:space="preserve">He tells you to literally have a bad life and to actually. </t>
  </si>
  <si>
    <t>14:46-14:52</t>
  </si>
  <si>
    <t>02:40-04:55</t>
  </si>
  <si>
    <t>05:14-05:55</t>
  </si>
  <si>
    <t>05:58-06:06</t>
  </si>
  <si>
    <t>06:07-06:17</t>
  </si>
  <si>
    <t>06:21-06:46</t>
  </si>
  <si>
    <t>06:47-07:47</t>
  </si>
  <si>
    <t>07:48-09:28</t>
  </si>
  <si>
    <t>09:29-10:42</t>
  </si>
  <si>
    <t xml:space="preserve">It won't work, right? It's something that is. Something that makes you a handicap, right? </t>
  </si>
  <si>
    <t>10:44-10:50</t>
  </si>
  <si>
    <t>10:52-12:19</t>
  </si>
  <si>
    <t xml:space="preserve">Yeah, a rhetorical question plus an alliteration. Pay or passion. This is about your pay or passion. What does it have to do with your what?  Another word for job? Another word for job. </t>
  </si>
  <si>
    <t>12:23-12:40</t>
  </si>
  <si>
    <t>12:41-14:46</t>
  </si>
  <si>
    <t>14:52-16:17</t>
  </si>
  <si>
    <t>16:21-17:02</t>
  </si>
  <si>
    <t>word</t>
    <phoneticPr fontId="5" type="noConversion"/>
  </si>
  <si>
    <t>APT moves</t>
    <phoneticPr fontId="5" type="noConversion"/>
  </si>
  <si>
    <t>Revoice(T1)</t>
  </si>
  <si>
    <t>Press for reasoning(T2)</t>
  </si>
  <si>
    <t>Challenge(T4)</t>
  </si>
  <si>
    <t>Restate(1678976054)</t>
  </si>
  <si>
    <t>Agree/Disagree(1678976089)</t>
  </si>
  <si>
    <t>Add on(1678976097)</t>
  </si>
  <si>
    <t>Explain others(T5)</t>
  </si>
  <si>
    <t>sum</t>
  </si>
  <si>
    <t>Teachers' total words</t>
  </si>
  <si>
    <t>Students' total words</t>
  </si>
  <si>
    <t>Total turns</t>
  </si>
  <si>
    <t>No. of teachers' turn</t>
  </si>
  <si>
    <t>No. of students' turn</t>
  </si>
  <si>
    <t xml:space="preserve">A fork right? You use the fork for eating so gluttony. </t>
    <phoneticPr fontId="1" type="noConversion"/>
  </si>
  <si>
    <t>Gluttony! Very good, I like gluttony. Alright, is there another meaning for a fork, other than a utensil or a cutlery that we use to eat? So Harry said gluttony, anyone else has any other figurative meaning of what a fork could represent, in creative non fiction, yes?</t>
    <phoneticPr fontId="1" type="noConversion"/>
  </si>
  <si>
    <t>Say more(T3)</t>
    <phoneticPr fontId="1" type="noConversion"/>
  </si>
  <si>
    <t>Okay, a fork can represent violence, alright. Now, uhm Jay can you pass one to each student please? Thank you.</t>
    <phoneticPr fontId="1" type="noConversion"/>
  </si>
  <si>
    <t xml:space="preserve">Creative non-fiction right? An object representing something else, we have the fork here literally which is a utensil that we use, a cutlery that we use, alright? We think of it symbolically, it could be gluttony, it could be a chess move, it could something aggressive and violent. Let's see what my understanding of what the fork is, I'll read it aloud and you can follow along. A fork, a cutlery to poke, prod, and pierce the morsels and delicacies plated before us. A Western invention that has been subtly ingrained in how we all eat, this is the literal meaning, right? With its three or four prongs, the metallic candle slightly fits into the palms and fingers. But how about the fork in our lives? The road not taken, when we reach the dilemma of two roads, destination unknown? Should we choose the narrow path or the wide way? Choices are deliberating and debilitating. Pay your passion and say follow your dreams until you have rent to pay. They say stay hungry and foolish until you are starving and full. Navigating without a map or nowadays Google Maps in a foreign land is infuriating. How do we know the end game if there's no end in sight? The fork with which we feed ourselves is a tool that we take for granted, automatically putting that steak, salmon, or salad into our mouths. But the fork roads in life are not intuitive. We fork out a sizable sum of money for career advice or therapy when we have the tyranny of options. So if life had no forks, it would be a spoon or chopsticks.  But the fork roads in life are not intuitive. We fork out a sizable sum of money for career advice or therapy when we have the tyranny of options. So if life had no forks, it would be a spoon or chopsticks.  But the journey of life has multiple forks. An endless tree diagram of mundane and complex choices. Holding the fork in our hands, we could choose how to use it in the forks of our lives. All right, thank you, thank you. Okay, so this is something I wrote. So, what am I symbolically or figuratively talking about the fork? It is about the? Four. Four roads in life, right? Another word for four roads in life are? </t>
    <phoneticPr fontId="1" type="noConversion"/>
  </si>
  <si>
    <t>Multiple decisions, making choices, right? So let's look at the, let's look at the text again. Remember we talked about a play on words. Ashria, do you remember what a play on words is? What do you call it a technical term? A pun.</t>
    <phoneticPr fontId="1" type="noConversion"/>
  </si>
  <si>
    <t>Remember we talked about a play on words. Ashria, do you remember what a play on words is? What do you call it a technical term? A pun. A pun, very good, right? So I want you to read the text again. Identify any puns that you see, all right?  A play on words. A pun. Can you identify puns within the created non-fiction piece I've written? Please identify by underlining or highlighting any play on words that you see. </t>
    <phoneticPr fontId="1" type="noConversion"/>
  </si>
  <si>
    <t xml:space="preserve">Very good, right? We fork out. The word fork is here used as a verb, not as a? This is a, what do you call it? Because it's called a? </t>
    <phoneticPr fontId="1" type="noConversion"/>
  </si>
  <si>
    <t>Yes? We fork out the size of those normal words. </t>
    <phoneticPr fontId="1" type="noConversion"/>
  </si>
  <si>
    <t xml:space="preserve">In the what? Prote, prod, and pierce. </t>
    <phoneticPr fontId="1" type="noConversion"/>
  </si>
  <si>
    <t xml:space="preserve">Noun, right? But we fork out, it's used as a verb. Very good. Jason, do you find any alliteration in the first line? </t>
    <phoneticPr fontId="1" type="noConversion"/>
  </si>
  <si>
    <t>Very good, right? Yes. So we see already a fork, a coloring to quote, prod, and pierce. We call this alliteration. Very good. Yes. To identify the key sounds that are repeated, right? The morsel, the delicacies. Because even the word maybe plated could be a more of the word of pierce, prod, and to poke, right? </t>
    <phoneticPr fontId="1" type="noConversion"/>
  </si>
  <si>
    <t xml:space="preserve">A Western invention, all right? So we know that the forks is used a lot in Western culinary delicacies or in dishes that we eat, pasta, right? You eat with a fork, steak, right? What's a prong? Does anyone know what a prong is? If you look at this, what is a prong? The little individual sharp bits, right? The sharp parts of the four, the prongs. All right, whether it's four or three or four prongs, the metalic handles snugly fits into the palms and things. This is what we call descriptive writing, right?  It's very descriptive. But next, in the second paragraph, it's just a signal. Uhm, Sarah, what was the second paragraph?  This is called a, what kind of question? </t>
    <phoneticPr fontId="1" type="noConversion"/>
  </si>
  <si>
    <t xml:space="preserve">Yes, rhetorical question. Now, the pun is already starting to play, right? The play of words. But how about the fork in our lives? I didn't use the fork roads, right? I'm really symbolically saying the fork roads in our lives. That's a rhetorical question. Okay. The road not taken. Those who like poetry. That's from a? Has anyone heard of that poem before? Robert Frost. All right, this is a reference to a poem by Robert Frost. We will study that poem later. I have it in OneNote, but we will have a bit of time to look at that later. It's a poem, a reference, a cross-reference to a poem, the road not taken. So when we reach the dilemma of two roads, right, when you have a dilemma means you have a, what does a dilemma mean?  Hating. You kind of don't know what to pick. Yeah, you're stuck, right? It's a choice, but you don't know right or left, right? 
Very good. The destination unknown. So we don't know if you have a right path and a left path, you don't know where the end is, right? Should we choose the narrow path or the wide way? Those who are Christians, Kaiser, this comes from the? The narrow path or the wide way. Have you heard of this one? From the what? The book we study in Christianity. </t>
    <phoneticPr fontId="1" type="noConversion"/>
  </si>
  <si>
    <t xml:space="preserve">Bible, right? So this is a biblical reference. All right? So in Christianity, the wide way is the path that leads to hell, and the narrow way is the path that leads to life. It's a very biblical reference, a parable that Jesus told. 
All right, and then another alliteration, Avery, can you find? Deliberating and debilitating. This is quite hard words, quite long words. All right, find the alliteration again, the DD sound is repeated. What does the word deliberating mean, Wyneth? To deliberate is to? To think, right, to deliberate, consider, ponder, right, deliberate, all right? Ponder. How about the word debilitating, Hannah? If something is debilitating, do you know that word? Not really? Anyone want to go for a guess? Yes, remember what's debilitating, if something's debilitating. </t>
    <phoneticPr fontId="1" type="noConversion"/>
  </si>
  <si>
    <t xml:space="preserve">Yeah, so something that's like a hurdle. Hurdle, we use it in PE or sports day, a hurdle. Kind of like something that's a barrier in your path.  You get it? All right. What did I say is deliberating and debilitating? What's the subject of that sentence? Choices. Choices, right? I want you to analyze. What am I getting to? Choices are deliberating, pondering, and debilitating.  What am I trying to say? 
It is? Hard to make a choice, right? Sometimes. Okay, so what are some choices you have in life. Aysis, like what? Some more, it can be mundane choices and it can be very significant choices. Can you give me a choice that's mundane? What to eat, maybe like McDonald's or Starbucks, right? But how about major choices, like which, when you go to university, what are you going to choose? A major. A major, right, a subject. What do you want to major in? Medicine, Law, Engineering, English, History, all right? All right, pay your passion, again another... Alliteration plus. </t>
    <phoneticPr fontId="1" type="noConversion"/>
  </si>
  <si>
    <t>It's a rhetorical question.</t>
    <phoneticPr fontId="1" type="noConversion"/>
  </si>
  <si>
    <t>Occupation or your career, right? Have you heard of this phrase? We have a career guidance team, right? It's a career guidance team because a lot of you will, they say that secondary education is to pave the path for your tertiary education, to pave the path for your career, right? 
Career guidance. They say follow your dreams. Have you heard, who's the they here? People, what kind of, who's the they, who's giving the advice? People. 
People, right, the world, right? Instagram or there's all these people that say, follow your dreams. Have you heard of this phrase before? Can you raise your hand if you heard of follow your dreams? Yes. Alright, pay or passion, right? If follow your dreams, pay or passion. 
More passion or pay? Passion. Passion, right? Follow your dreams. But then, have you heard of the struggling artist? You have heard of the struggling artist, right? Like someone who wants to do maybe music and they may not be able to afford the rent, the struggling artists, until you have rent to pay. Follow your dreams until you have rent to pay. So this is about the choices that we make in life. 
If you want to be an artist, to really paint for a living, it makes it very hard to make a living as an artist. 
Or as an opera singer, or as a musician. Do you know who the they says stay hungry and foolish? The guy who used to run Apple. A famous guy? Steve Jobs. Steve Jobs, right? Again, the they here actually is Steve Jobs, the founder of Apple, right? Stay hungry and foolish. That was his advice in one of his speeches about career or life. And then do you see the pun, Kaiser, what's the pun? They say stay hungry and foolish. What's the button on the follow-up phrase?</t>
    <phoneticPr fontId="1" type="noConversion"/>
  </si>
  <si>
    <t xml:space="preserve">Stay hungry and foolish, right? What do you think hungry here means metaphorically it doesn't mean literally being poor and like starving, have the desire right, the determination to pursue what you want, stay hungry but how about foolish? What do you think it means here when Steve Jobs says stay hungry and foolish? 
What do you think, Avery? Stay hungry and foolish. Hunger means the desire, the appetite to pursue what you want. But foolish, why did he say foolish? He was a very successful man. Foolish has something like stupid, right? But what do you think it means by foolish here? To take risks. To take risks, maybe, right? Okay, yeah. So here it means determination. Maybe you have to take risks, alright? Or to be considered a fool. 
To be a contrarian, to take the path less troubled. Remember when Steve Jobs started the iPhone, people thought it would fail. But it became the most popular product of the Apple company. But then I made a pun again. Where's the pun? This is the pun, right? Starving linked to which word, Jeremy? </t>
    <phoneticPr fontId="1" type="noConversion"/>
  </si>
  <si>
    <t>Hungry and then fool. Foolish, right? All right. So the idea of these advice, these witty comments that we need to stay hungry and foolish to become a starving and a fool, all right? All right, let me go on. Okay, I don't think I have a lot of time left, but I'd like for you to answer the questions now on values.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</si>
</sst>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scheme val="minor"/>
    </font>
    <font>
      <sz val="8"/>
      <name val="等线"/>
      <family val="2"/>
      <scheme val="minor"/>
    </font>
    <font>
      <b/>
      <sz val="12"/>
      <color theme="1"/>
      <name val="等线"/>
      <family val="4"/>
      <charset val="134"/>
      <scheme val="minor"/>
    </font>
    <font>
      <sz val="12"/>
      <color rgb="FF000000"/>
      <name val="Aptos"/>
    </font>
    <font>
      <b/>
      <sz val="12"/>
      <color rgb="FF000000"/>
      <name val="Calibri"/>
      <family val="2"/>
    </font>
    <font>
      <sz val="9"/>
      <name val="等线"/>
      <family val="3"/>
      <charset val="134"/>
      <scheme val="minor"/>
    </font>
    <font>
      <b/>
      <sz val="12"/>
      <color theme="1"/>
      <name val="Calibri"/>
      <family val="2"/>
    </font>
    <font>
      <sz val="12"/>
      <color theme="1"/>
      <name val="Helvetica"/>
      <family val="2"/>
    </font>
    <font>
      <sz val="11"/>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3" fillId="0" borderId="0" xfId="0" applyFont="1"/>
    <xf numFmtId="0" fontId="3" fillId="0" borderId="0" xfId="0" applyFont="1" applyAlignment="1">
      <alignment wrapText="1"/>
    </xf>
    <xf numFmtId="20" fontId="0" fillId="0" borderId="0" xfId="0" applyNumberFormat="1"/>
    <xf numFmtId="0" fontId="6" fillId="0" borderId="0" xfId="0" applyFont="1"/>
    <xf numFmtId="0" fontId="8" fillId="0" borderId="0" xfId="0" applyFont="1"/>
    <xf numFmtId="0" fontId="7" fillId="0" borderId="0" xfId="0" applyFont="1" applyAlignment="1">
      <alignment horizontal="right"/>
    </xf>
    <xf numFmtId="0" fontId="8" fillId="0" borderId="0" xfId="0" applyFont="1" applyAlignment="1">
      <alignment horizontal="right"/>
    </xf>
    <xf numFmtId="0" fontId="6"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C8145-DCBE-2C4C-9E43-629DA05241D9}">
  <dimension ref="A1:M162"/>
  <sheetViews>
    <sheetView tabSelected="1" zoomScaleNormal="100" workbookViewId="0">
      <pane ySplit="2" topLeftCell="A48" activePane="bottomLeft" state="frozen"/>
      <selection pane="bottomLeft" activeCell="D50" sqref="D50"/>
    </sheetView>
  </sheetViews>
  <sheetFormatPr baseColWidth="10" defaultRowHeight="16"/>
  <cols>
    <col min="2" max="2" width="12.33203125" customWidth="1"/>
    <col min="4" max="4" width="51.6640625" style="1" customWidth="1"/>
  </cols>
  <sheetData>
    <row r="1" spans="1:13">
      <c r="A1" s="10" t="s">
        <v>1</v>
      </c>
      <c r="B1" s="10" t="s">
        <v>2</v>
      </c>
      <c r="C1" s="10" t="s">
        <v>3</v>
      </c>
      <c r="D1" s="11" t="s">
        <v>4</v>
      </c>
      <c r="E1" s="12" t="s">
        <v>96</v>
      </c>
      <c r="F1" s="9" t="s">
        <v>97</v>
      </c>
      <c r="G1" s="9"/>
      <c r="H1" s="9"/>
      <c r="I1" s="9"/>
      <c r="J1" s="9"/>
      <c r="K1" s="9"/>
      <c r="L1" s="9"/>
      <c r="M1" s="9"/>
    </row>
    <row r="2" spans="1:13">
      <c r="A2" s="10"/>
      <c r="B2" s="10"/>
      <c r="C2" s="10"/>
      <c r="D2" s="11"/>
      <c r="E2" s="12"/>
      <c r="F2" s="5" t="s">
        <v>113</v>
      </c>
      <c r="G2" s="5" t="s">
        <v>98</v>
      </c>
      <c r="H2" s="5" t="s">
        <v>99</v>
      </c>
      <c r="I2" s="5" t="s">
        <v>100</v>
      </c>
      <c r="J2" s="5" t="s">
        <v>101</v>
      </c>
      <c r="K2" s="5" t="s">
        <v>102</v>
      </c>
      <c r="L2" s="5" t="s">
        <v>103</v>
      </c>
      <c r="M2" s="5" t="s">
        <v>104</v>
      </c>
    </row>
    <row r="3" spans="1:13" ht="17">
      <c r="A3">
        <v>1</v>
      </c>
      <c r="B3" t="s">
        <v>6</v>
      </c>
      <c r="C3" t="s">
        <v>7</v>
      </c>
      <c r="D3" s="1" t="s">
        <v>5</v>
      </c>
      <c r="E3">
        <f>LEN(D3)-LEN(SUBSTITUTE(D3," ",""))+1</f>
        <v>5</v>
      </c>
    </row>
    <row r="4" spans="1:13" ht="17">
      <c r="A4">
        <v>2</v>
      </c>
      <c r="B4" t="s">
        <v>9</v>
      </c>
      <c r="C4" t="s">
        <v>8</v>
      </c>
      <c r="D4" s="1" t="s">
        <v>10</v>
      </c>
      <c r="E4">
        <f t="shared" ref="E4:E52" si="0">LEN(D4)-LEN(SUBSTITUTE(D4," ",""))+1</f>
        <v>2</v>
      </c>
    </row>
    <row r="5" spans="1:13" ht="17">
      <c r="A5">
        <v>3</v>
      </c>
      <c r="B5" t="s">
        <v>57</v>
      </c>
      <c r="C5" t="s">
        <v>7</v>
      </c>
      <c r="D5" s="1" t="s">
        <v>11</v>
      </c>
      <c r="E5">
        <f t="shared" si="0"/>
        <v>9</v>
      </c>
    </row>
    <row r="6" spans="1:13" ht="17">
      <c r="A6">
        <v>4</v>
      </c>
      <c r="B6" t="s">
        <v>13</v>
      </c>
      <c r="C6" t="s">
        <v>8</v>
      </c>
      <c r="D6" s="1" t="s">
        <v>12</v>
      </c>
      <c r="E6">
        <f t="shared" si="0"/>
        <v>2</v>
      </c>
    </row>
    <row r="7" spans="1:13" ht="17">
      <c r="A7">
        <v>5</v>
      </c>
      <c r="B7" t="s">
        <v>58</v>
      </c>
      <c r="C7" t="s">
        <v>7</v>
      </c>
      <c r="D7" s="1" t="s">
        <v>14</v>
      </c>
      <c r="E7">
        <f t="shared" si="0"/>
        <v>12</v>
      </c>
      <c r="F7">
        <v>1</v>
      </c>
    </row>
    <row r="8" spans="1:13" ht="17">
      <c r="A8">
        <v>6</v>
      </c>
      <c r="B8" t="s">
        <v>59</v>
      </c>
      <c r="C8" t="s">
        <v>8</v>
      </c>
      <c r="D8" s="1" t="s">
        <v>15</v>
      </c>
      <c r="E8">
        <f t="shared" si="0"/>
        <v>1</v>
      </c>
    </row>
    <row r="9" spans="1:13" ht="102">
      <c r="A9">
        <v>7</v>
      </c>
      <c r="B9" t="s">
        <v>60</v>
      </c>
      <c r="C9" t="s">
        <v>7</v>
      </c>
      <c r="D9" s="1" t="s">
        <v>55</v>
      </c>
      <c r="E9">
        <f t="shared" si="0"/>
        <v>51</v>
      </c>
      <c r="F9">
        <v>1</v>
      </c>
    </row>
    <row r="10" spans="1:13" ht="17">
      <c r="A10">
        <v>8</v>
      </c>
      <c r="B10" t="s">
        <v>61</v>
      </c>
      <c r="C10" t="s">
        <v>17</v>
      </c>
      <c r="D10" s="1" t="s">
        <v>111</v>
      </c>
      <c r="E10">
        <f t="shared" si="0"/>
        <v>12</v>
      </c>
    </row>
    <row r="11" spans="1:13" ht="85">
      <c r="A11">
        <v>9</v>
      </c>
      <c r="B11" t="s">
        <v>62</v>
      </c>
      <c r="C11" t="s">
        <v>7</v>
      </c>
      <c r="D11" s="1" t="s">
        <v>112</v>
      </c>
      <c r="E11">
        <f t="shared" si="0"/>
        <v>48</v>
      </c>
      <c r="L11">
        <v>1</v>
      </c>
    </row>
    <row r="12" spans="1:13" ht="17">
      <c r="A12">
        <v>10</v>
      </c>
      <c r="B12" t="s">
        <v>63</v>
      </c>
      <c r="C12" t="s">
        <v>16</v>
      </c>
      <c r="D12" s="1" t="s">
        <v>38</v>
      </c>
      <c r="E12">
        <f t="shared" si="0"/>
        <v>3</v>
      </c>
    </row>
    <row r="13" spans="1:13" ht="17">
      <c r="A13">
        <v>11</v>
      </c>
      <c r="B13" t="s">
        <v>64</v>
      </c>
      <c r="C13" t="s">
        <v>7</v>
      </c>
      <c r="D13" s="1" t="s">
        <v>56</v>
      </c>
      <c r="E13">
        <f t="shared" si="0"/>
        <v>13</v>
      </c>
      <c r="M13">
        <v>1</v>
      </c>
    </row>
    <row r="14" spans="1:13" ht="17">
      <c r="A14">
        <v>12</v>
      </c>
      <c r="B14" t="s">
        <v>65</v>
      </c>
      <c r="C14" t="s">
        <v>18</v>
      </c>
      <c r="D14" s="1" t="s">
        <v>19</v>
      </c>
      <c r="E14">
        <f t="shared" si="0"/>
        <v>10</v>
      </c>
    </row>
    <row r="15" spans="1:13" ht="34">
      <c r="A15">
        <v>13</v>
      </c>
      <c r="B15" t="s">
        <v>22</v>
      </c>
      <c r="C15" t="s">
        <v>7</v>
      </c>
      <c r="D15" s="1" t="s">
        <v>20</v>
      </c>
      <c r="E15">
        <f t="shared" si="0"/>
        <v>20</v>
      </c>
      <c r="L15">
        <v>1</v>
      </c>
    </row>
    <row r="16" spans="1:13" ht="17">
      <c r="A16">
        <v>14</v>
      </c>
      <c r="B16" t="s">
        <v>24</v>
      </c>
      <c r="C16" t="s">
        <v>21</v>
      </c>
      <c r="D16" s="1" t="s">
        <v>23</v>
      </c>
      <c r="E16">
        <f t="shared" si="0"/>
        <v>5</v>
      </c>
    </row>
    <row r="17" spans="1:7" ht="34" customHeight="1">
      <c r="A17">
        <v>15</v>
      </c>
      <c r="B17" t="s">
        <v>25</v>
      </c>
      <c r="C17" t="s">
        <v>7</v>
      </c>
      <c r="D17" s="1" t="s">
        <v>114</v>
      </c>
      <c r="E17">
        <f t="shared" si="0"/>
        <v>20</v>
      </c>
    </row>
    <row r="18" spans="1:7" ht="17">
      <c r="A18">
        <v>16</v>
      </c>
      <c r="B18" t="s">
        <v>27</v>
      </c>
      <c r="C18" t="s">
        <v>8</v>
      </c>
      <c r="D18" s="1" t="s">
        <v>28</v>
      </c>
      <c r="E18">
        <f t="shared" si="0"/>
        <v>2</v>
      </c>
    </row>
    <row r="19" spans="1:7" ht="34">
      <c r="A19">
        <v>17</v>
      </c>
      <c r="B19" t="s">
        <v>30</v>
      </c>
      <c r="C19" t="s">
        <v>7</v>
      </c>
      <c r="D19" s="1" t="s">
        <v>32</v>
      </c>
      <c r="E19">
        <f t="shared" si="0"/>
        <v>17</v>
      </c>
    </row>
    <row r="20" spans="1:7" ht="17">
      <c r="A20">
        <v>18</v>
      </c>
      <c r="B20" t="s">
        <v>31</v>
      </c>
      <c r="C20" t="s">
        <v>29</v>
      </c>
      <c r="D20" s="1" t="s">
        <v>26</v>
      </c>
      <c r="E20">
        <f t="shared" si="0"/>
        <v>2</v>
      </c>
    </row>
    <row r="21" spans="1:7" ht="338" customHeight="1">
      <c r="A21">
        <v>19</v>
      </c>
      <c r="B21" t="s">
        <v>80</v>
      </c>
      <c r="C21" t="s">
        <v>7</v>
      </c>
      <c r="D21" s="1" t="s">
        <v>115</v>
      </c>
      <c r="E21">
        <f t="shared" si="0"/>
        <v>393</v>
      </c>
    </row>
    <row r="22" spans="1:7" ht="17">
      <c r="A22">
        <v>20</v>
      </c>
      <c r="B22" t="s">
        <v>71</v>
      </c>
      <c r="C22" t="s">
        <v>17</v>
      </c>
      <c r="D22" s="1" t="s">
        <v>66</v>
      </c>
      <c r="E22">
        <f t="shared" si="0"/>
        <v>3</v>
      </c>
    </row>
    <row r="23" spans="1:7" ht="17">
      <c r="A23">
        <v>21</v>
      </c>
      <c r="B23" t="s">
        <v>70</v>
      </c>
      <c r="C23" t="s">
        <v>7</v>
      </c>
      <c r="D23" s="1" t="s">
        <v>68</v>
      </c>
      <c r="E23">
        <f t="shared" si="0"/>
        <v>2</v>
      </c>
      <c r="F23">
        <v>1</v>
      </c>
    </row>
    <row r="24" spans="1:7" ht="17">
      <c r="A24">
        <v>22</v>
      </c>
      <c r="B24" t="s">
        <v>74</v>
      </c>
      <c r="C24" t="s">
        <v>17</v>
      </c>
      <c r="D24" s="1" t="s">
        <v>67</v>
      </c>
      <c r="E24">
        <f t="shared" si="0"/>
        <v>3</v>
      </c>
    </row>
    <row r="25" spans="1:7" ht="17">
      <c r="A25">
        <v>23</v>
      </c>
      <c r="B25" t="s">
        <v>72</v>
      </c>
      <c r="C25" t="s">
        <v>7</v>
      </c>
      <c r="D25" s="1" t="s">
        <v>33</v>
      </c>
      <c r="E25">
        <f t="shared" si="0"/>
        <v>5</v>
      </c>
      <c r="F25">
        <v>1</v>
      </c>
    </row>
    <row r="26" spans="1:7" ht="17">
      <c r="A26">
        <v>24</v>
      </c>
      <c r="B26" t="s">
        <v>73</v>
      </c>
      <c r="C26" t="s">
        <v>17</v>
      </c>
      <c r="D26" s="3" t="s">
        <v>69</v>
      </c>
      <c r="E26">
        <f t="shared" si="0"/>
        <v>2</v>
      </c>
    </row>
    <row r="27" spans="1:7" ht="68">
      <c r="A27">
        <v>25</v>
      </c>
      <c r="B27" t="s">
        <v>34</v>
      </c>
      <c r="C27" t="s">
        <v>7</v>
      </c>
      <c r="D27" s="3" t="s">
        <v>116</v>
      </c>
      <c r="E27">
        <f t="shared" si="0"/>
        <v>43</v>
      </c>
    </row>
    <row r="28" spans="1:7" ht="119">
      <c r="A28">
        <v>26</v>
      </c>
      <c r="B28" s="4" t="s">
        <v>81</v>
      </c>
      <c r="C28" t="s">
        <v>7</v>
      </c>
      <c r="D28" s="3" t="s">
        <v>117</v>
      </c>
      <c r="E28">
        <f t="shared" si="0"/>
        <v>78</v>
      </c>
    </row>
    <row r="29" spans="1:7">
      <c r="A29">
        <v>27</v>
      </c>
      <c r="B29" s="4" t="s">
        <v>44</v>
      </c>
      <c r="C29" t="s">
        <v>35</v>
      </c>
      <c r="D29" s="2" t="s">
        <v>119</v>
      </c>
      <c r="E29">
        <f t="shared" si="0"/>
        <v>9</v>
      </c>
    </row>
    <row r="30" spans="1:7" ht="51">
      <c r="A30">
        <v>28</v>
      </c>
      <c r="B30" s="4" t="s">
        <v>82</v>
      </c>
      <c r="C30" t="s">
        <v>7</v>
      </c>
      <c r="D30" s="3" t="s">
        <v>118</v>
      </c>
      <c r="E30">
        <f t="shared" si="0"/>
        <v>30</v>
      </c>
      <c r="G30">
        <v>1</v>
      </c>
    </row>
    <row r="31" spans="1:7">
      <c r="A31">
        <v>29</v>
      </c>
      <c r="B31" s="4" t="s">
        <v>45</v>
      </c>
      <c r="C31" t="s">
        <v>75</v>
      </c>
      <c r="D31" s="2" t="s">
        <v>76</v>
      </c>
      <c r="E31">
        <f t="shared" si="0"/>
        <v>1</v>
      </c>
    </row>
    <row r="32" spans="1:7" ht="34">
      <c r="A32">
        <v>30</v>
      </c>
      <c r="B32" s="4" t="s">
        <v>83</v>
      </c>
      <c r="C32" t="s">
        <v>7</v>
      </c>
      <c r="D32" s="3" t="s">
        <v>121</v>
      </c>
      <c r="E32">
        <f t="shared" si="0"/>
        <v>21</v>
      </c>
    </row>
    <row r="33" spans="1:7" ht="17">
      <c r="A33">
        <v>31</v>
      </c>
      <c r="B33" s="4" t="s">
        <v>46</v>
      </c>
      <c r="C33" t="s">
        <v>36</v>
      </c>
      <c r="D33" s="1" t="s">
        <v>120</v>
      </c>
      <c r="E33">
        <f t="shared" si="0"/>
        <v>8</v>
      </c>
    </row>
    <row r="34" spans="1:7" ht="102">
      <c r="A34">
        <v>32</v>
      </c>
      <c r="B34" s="4" t="s">
        <v>84</v>
      </c>
      <c r="C34" t="s">
        <v>7</v>
      </c>
      <c r="D34" s="3" t="s">
        <v>122</v>
      </c>
      <c r="E34">
        <f t="shared" si="0"/>
        <v>53</v>
      </c>
    </row>
    <row r="35" spans="1:7" ht="17">
      <c r="A35">
        <v>33</v>
      </c>
      <c r="B35" s="4" t="s">
        <v>77</v>
      </c>
      <c r="C35" t="s">
        <v>17</v>
      </c>
      <c r="D35" s="1" t="s">
        <v>0</v>
      </c>
      <c r="E35">
        <f t="shared" si="0"/>
        <v>1</v>
      </c>
    </row>
    <row r="36" spans="1:7" ht="204">
      <c r="A36">
        <v>34</v>
      </c>
      <c r="B36" s="4" t="s">
        <v>85</v>
      </c>
      <c r="C36" t="s">
        <v>7</v>
      </c>
      <c r="D36" s="1" t="s">
        <v>123</v>
      </c>
      <c r="E36">
        <f t="shared" si="0"/>
        <v>125</v>
      </c>
    </row>
    <row r="37" spans="1:7" ht="17">
      <c r="A37">
        <v>35</v>
      </c>
      <c r="B37" s="4" t="s">
        <v>48</v>
      </c>
      <c r="C37" t="s">
        <v>35</v>
      </c>
      <c r="D37" s="1" t="s">
        <v>47</v>
      </c>
      <c r="E37">
        <f t="shared" si="0"/>
        <v>1</v>
      </c>
    </row>
    <row r="38" spans="1:7" ht="372">
      <c r="A38">
        <v>36</v>
      </c>
      <c r="B38" s="4" t="s">
        <v>86</v>
      </c>
      <c r="C38" t="s">
        <v>7</v>
      </c>
      <c r="D38" s="1" t="s">
        <v>124</v>
      </c>
      <c r="E38">
        <f t="shared" si="0"/>
        <v>230</v>
      </c>
    </row>
    <row r="39" spans="1:7" ht="17">
      <c r="A39">
        <v>37</v>
      </c>
      <c r="B39" s="4" t="s">
        <v>49</v>
      </c>
      <c r="C39" t="s">
        <v>16</v>
      </c>
      <c r="D39" s="1" t="s">
        <v>37</v>
      </c>
      <c r="E39">
        <f t="shared" si="0"/>
        <v>1</v>
      </c>
    </row>
    <row r="40" spans="1:7" ht="238">
      <c r="A40">
        <v>38</v>
      </c>
      <c r="B40" s="4" t="s">
        <v>87</v>
      </c>
      <c r="C40" t="s">
        <v>7</v>
      </c>
      <c r="D40" s="1" t="s">
        <v>125</v>
      </c>
      <c r="E40">
        <f t="shared" si="0"/>
        <v>121</v>
      </c>
    </row>
    <row r="41" spans="1:7">
      <c r="A41">
        <v>39</v>
      </c>
      <c r="B41" s="4" t="s">
        <v>50</v>
      </c>
      <c r="C41" t="s">
        <v>36</v>
      </c>
      <c r="D41" s="2" t="s">
        <v>39</v>
      </c>
      <c r="E41">
        <f t="shared" si="0"/>
        <v>4</v>
      </c>
    </row>
    <row r="42" spans="1:7" ht="34">
      <c r="A42">
        <v>40</v>
      </c>
      <c r="B42" s="4" t="s">
        <v>89</v>
      </c>
      <c r="C42" t="s">
        <v>7</v>
      </c>
      <c r="D42" s="1" t="s">
        <v>88</v>
      </c>
      <c r="E42">
        <f t="shared" si="0"/>
        <v>16</v>
      </c>
      <c r="G42">
        <v>1</v>
      </c>
    </row>
    <row r="43" spans="1:7">
      <c r="A43">
        <v>41</v>
      </c>
      <c r="B43" s="4" t="s">
        <v>51</v>
      </c>
      <c r="C43" t="s">
        <v>36</v>
      </c>
      <c r="D43" s="2" t="s">
        <v>40</v>
      </c>
      <c r="E43">
        <f t="shared" si="0"/>
        <v>2</v>
      </c>
    </row>
    <row r="44" spans="1:7" ht="289">
      <c r="A44">
        <v>42</v>
      </c>
      <c r="B44" s="4" t="s">
        <v>90</v>
      </c>
      <c r="C44" t="s">
        <v>7</v>
      </c>
      <c r="D44" s="3" t="s">
        <v>126</v>
      </c>
      <c r="E44">
        <f t="shared" si="0"/>
        <v>171</v>
      </c>
    </row>
    <row r="45" spans="1:7" ht="17">
      <c r="A45">
        <v>43</v>
      </c>
      <c r="B45" s="4" t="s">
        <v>52</v>
      </c>
      <c r="C45" t="s">
        <v>16</v>
      </c>
      <c r="D45" s="1" t="s">
        <v>127</v>
      </c>
      <c r="E45">
        <f t="shared" si="0"/>
        <v>4</v>
      </c>
    </row>
    <row r="46" spans="1:7" ht="68">
      <c r="A46">
        <v>44</v>
      </c>
      <c r="B46" s="4" t="s">
        <v>92</v>
      </c>
      <c r="C46" t="s">
        <v>7</v>
      </c>
      <c r="D46" s="1" t="s">
        <v>91</v>
      </c>
      <c r="E46">
        <f t="shared" si="0"/>
        <v>32</v>
      </c>
    </row>
    <row r="47" spans="1:7">
      <c r="A47">
        <v>45</v>
      </c>
      <c r="B47" s="4" t="s">
        <v>53</v>
      </c>
      <c r="C47" t="s">
        <v>16</v>
      </c>
      <c r="D47" s="2" t="s">
        <v>42</v>
      </c>
      <c r="E47">
        <f t="shared" si="0"/>
        <v>2</v>
      </c>
    </row>
    <row r="48" spans="1:7" ht="299" customHeight="1">
      <c r="A48">
        <v>46</v>
      </c>
      <c r="B48" s="4" t="s">
        <v>93</v>
      </c>
      <c r="C48" t="s">
        <v>7</v>
      </c>
      <c r="D48" s="3" t="s">
        <v>128</v>
      </c>
      <c r="E48">
        <f t="shared" si="0"/>
        <v>305</v>
      </c>
    </row>
    <row r="49" spans="1:13" ht="17">
      <c r="A49">
        <v>47</v>
      </c>
      <c r="B49" s="4" t="s">
        <v>79</v>
      </c>
      <c r="C49" t="s">
        <v>43</v>
      </c>
      <c r="D49" s="1" t="s">
        <v>78</v>
      </c>
      <c r="E49">
        <f t="shared" si="0"/>
        <v>13</v>
      </c>
    </row>
    <row r="50" spans="1:13" ht="171" customHeight="1">
      <c r="A50">
        <v>48</v>
      </c>
      <c r="B50" s="4" t="s">
        <v>94</v>
      </c>
      <c r="C50" t="s">
        <v>7</v>
      </c>
      <c r="D50" s="1" t="s">
        <v>129</v>
      </c>
      <c r="E50">
        <f t="shared" si="0"/>
        <v>186</v>
      </c>
    </row>
    <row r="51" spans="1:13" ht="17">
      <c r="A51">
        <v>49</v>
      </c>
      <c r="B51" s="4" t="s">
        <v>54</v>
      </c>
      <c r="C51" t="s">
        <v>16</v>
      </c>
      <c r="D51" s="1" t="s">
        <v>41</v>
      </c>
      <c r="E51">
        <f t="shared" si="0"/>
        <v>2</v>
      </c>
    </row>
    <row r="52" spans="1:13" ht="102">
      <c r="A52">
        <v>50</v>
      </c>
      <c r="B52" s="4" t="s">
        <v>95</v>
      </c>
      <c r="C52" t="s">
        <v>7</v>
      </c>
      <c r="D52" s="1" t="s">
        <v>130</v>
      </c>
      <c r="E52">
        <f t="shared" si="0"/>
        <v>53</v>
      </c>
    </row>
    <row r="53" spans="1:13">
      <c r="B53" s="4"/>
    </row>
    <row r="54" spans="1:13">
      <c r="B54" s="4"/>
      <c r="D54" s="7" t="s">
        <v>105</v>
      </c>
      <c r="E54" s="6">
        <f>SUM(E3:E52)</f>
        <v>2154</v>
      </c>
      <c r="F54" s="6">
        <f t="shared" ref="F54:M54" si="1">SUM(F3:F52)</f>
        <v>4</v>
      </c>
      <c r="G54" s="6">
        <f t="shared" si="1"/>
        <v>2</v>
      </c>
      <c r="H54" s="6">
        <f t="shared" si="1"/>
        <v>0</v>
      </c>
      <c r="I54" s="6">
        <f t="shared" si="1"/>
        <v>0</v>
      </c>
      <c r="J54" s="6">
        <f t="shared" si="1"/>
        <v>0</v>
      </c>
      <c r="K54" s="6">
        <f t="shared" si="1"/>
        <v>0</v>
      </c>
      <c r="L54" s="6">
        <f t="shared" si="1"/>
        <v>2</v>
      </c>
      <c r="M54" s="6">
        <f t="shared" si="1"/>
        <v>1</v>
      </c>
    </row>
    <row r="55" spans="1:13">
      <c r="B55" s="4"/>
      <c r="D55" s="8" t="s">
        <v>106</v>
      </c>
      <c r="E55">
        <f>SUMIF(C3:C52, "Teacher", E3:E52)</f>
        <v>2059</v>
      </c>
    </row>
    <row r="56" spans="1:13">
      <c r="B56" s="4"/>
      <c r="D56" s="8" t="s">
        <v>107</v>
      </c>
      <c r="E56">
        <f>E54-E55</f>
        <v>95</v>
      </c>
    </row>
    <row r="57" spans="1:13">
      <c r="B57" s="4"/>
      <c r="D57" s="8" t="s">
        <v>108</v>
      </c>
      <c r="E57">
        <v>50</v>
      </c>
    </row>
    <row r="58" spans="1:13">
      <c r="D58" s="8" t="s">
        <v>109</v>
      </c>
      <c r="E58">
        <f>COUNTIF(C3:C52, "Teacher")</f>
        <v>26</v>
      </c>
    </row>
    <row r="59" spans="1:13">
      <c r="D59" s="8" t="s">
        <v>110</v>
      </c>
      <c r="E59">
        <f>E57-E58</f>
        <v>24</v>
      </c>
    </row>
    <row r="117" ht="33" customHeight="1"/>
    <row r="162" ht="20" customHeight="1"/>
  </sheetData>
  <mergeCells count="6">
    <mergeCell ref="F1:M1"/>
    <mergeCell ref="A1:A2"/>
    <mergeCell ref="B1:B2"/>
    <mergeCell ref="C1:C2"/>
    <mergeCell ref="D1:D2"/>
    <mergeCell ref="E1:E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Aline Lukito</dc:creator>
  <cp:lastModifiedBy>susan zhou</cp:lastModifiedBy>
  <dcterms:created xsi:type="dcterms:W3CDTF">2026-03-22T12:51:17Z</dcterms:created>
  <dcterms:modified xsi:type="dcterms:W3CDTF">2026-05-05T06:32:39Z</dcterms:modified>
</cp:coreProperties>
</file>