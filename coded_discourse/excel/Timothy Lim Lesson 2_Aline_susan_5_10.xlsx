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https://d.docs.live.net/529a137f6cc16f6a/课内相关/京师人/学业/各种项目/2026上半年陶瓷/ChenGaowei/5.5编码任务/"/>
    </mc:Choice>
  </mc:AlternateContent>
  <xr:revisionPtr revIDLastSave="3" documentId="8_{8DC511DA-5D07-DB4B-8A66-B13586CFB1BF}" xr6:coauthVersionLast="47" xr6:coauthVersionMax="47" xr10:uidLastSave="{699FC91B-C81F-E344-A4BA-7A37AA35608F}"/>
  <bookViews>
    <workbookView xWindow="0" yWindow="740" windowWidth="29400" windowHeight="18380" xr2:uid="{3447AC8D-9648-3C45-8625-13324D6F7B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87" i="1" l="1"/>
  <c r="G87" i="1"/>
  <c r="H87" i="1"/>
  <c r="I87" i="1"/>
  <c r="J87" i="1"/>
  <c r="K87" i="1"/>
  <c r="L87" i="1"/>
  <c r="M87" i="1"/>
  <c r="E92" i="1"/>
  <c r="E91"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4" i="1"/>
  <c r="E3" i="1"/>
  <c r="E88" i="1" l="1"/>
  <c r="E87" i="1"/>
  <c r="E89" i="1" l="1"/>
</calcChain>
</file>

<file path=xl/sharedStrings.xml><?xml version="1.0" encoding="utf-8"?>
<sst xmlns="http://schemas.openxmlformats.org/spreadsheetml/2006/main" count="269" uniqueCount="189">
  <si>
    <t>Good morning, Mr. Lim</t>
  </si>
  <si>
    <t>Teacher</t>
  </si>
  <si>
    <t>Student</t>
  </si>
  <si>
    <t xml:space="preserve">The pilot's corpse was a parachute, right? He's a paratrooper. He probably ejected from a plane to evacuate and to land in the trees. All right? So yes, chapter six was the beast from the air. The beast from the water, the beast from the air. So now we're going to look at chapter seven called, what's the title of chapter seven? Eric, can you please open your book, please, to page seven, chapter seven. Guys, you need your book, all right? Chapter seven. What's the title? Chapter seven. </t>
  </si>
  <si>
    <t>Shadows and Tall Trees. </t>
  </si>
  <si>
    <t xml:space="preserve">Yeah, you need to silently first, all right? And then look at the questions. </t>
  </si>
  <si>
    <t xml:space="preserve">Shadows and Tall Trees, all right? Can you read page 119 and 120 now? </t>
  </si>
  <si>
    <t>Page 119-120 right?</t>
  </si>
  <si>
    <t xml:space="preserve">Okay. </t>
  </si>
  <si>
    <t>00:04-00:06</t>
  </si>
  <si>
    <t>00:06-00:09</t>
  </si>
  <si>
    <t>00:09-00:38</t>
  </si>
  <si>
    <t>00:38-01:15</t>
  </si>
  <si>
    <t>01:15-01:54</t>
  </si>
  <si>
    <t>01:54-01:57</t>
  </si>
  <si>
    <t>01:57-02:32</t>
  </si>
  <si>
    <t>02:32-02:34</t>
  </si>
  <si>
    <t>02:34-02:43</t>
  </si>
  <si>
    <t>02:43-02:45</t>
  </si>
  <si>
    <t>02:45-02:48</t>
  </si>
  <si>
    <t>02:48-02:50</t>
  </si>
  <si>
    <t>02:50-03:49</t>
  </si>
  <si>
    <t>03:49-03:57</t>
  </si>
  <si>
    <t>03:57-04:38</t>
  </si>
  <si>
    <t>Civilization. </t>
  </si>
  <si>
    <t xml:space="preserve">Civilization. Is he civilized or uncivilized if you're dirty and you have long hair? </t>
  </si>
  <si>
    <t>Uncivilized, but he wants to be civilized.</t>
  </si>
  <si>
    <t xml:space="preserve">They were dirty. </t>
  </si>
  <si>
    <t xml:space="preserve">They're uncivilized. </t>
  </si>
  <si>
    <t xml:space="preserve">Uncivilized, right? So they're now descending into... </t>
  </si>
  <si>
    <t>Insanity</t>
  </si>
  <si>
    <t>Savagery</t>
  </si>
  <si>
    <t xml:space="preserve">Sniffing like a dog, right? </t>
  </si>
  <si>
    <t xml:space="preserve">Unhygienic too, right? </t>
  </si>
  <si>
    <t xml:space="preserve">Hygienic. </t>
  </si>
  <si>
    <t xml:space="preserve">Yeah, yeah, yeah, yeah. </t>
  </si>
  <si>
    <t xml:space="preserve">Jack first. </t>
  </si>
  <si>
    <t>Justification of your interpretation.</t>
  </si>
  <si>
    <t>One</t>
  </si>
  <si>
    <t>Helplessness. </t>
  </si>
  <si>
    <t>Negative</t>
  </si>
  <si>
    <t>Because in the previous chapter, the guys did not die yet.</t>
  </si>
  <si>
    <t>Because the future's unknown.</t>
  </si>
  <si>
    <t>Incomplete. </t>
  </si>
  <si>
    <t xml:space="preserve">No, not. </t>
  </si>
  <si>
    <t xml:space="preserve">Sean, do you have any, do you have the book with you guys? Hannah, do you have anything that tells us that what kind of urban dwellings or things that do with civilization that Ralph reminisces over? </t>
  </si>
  <si>
    <t>A cottage?</t>
  </si>
  <si>
    <t>Goodbye</t>
  </si>
  <si>
    <t>(Teacher distributing worksheet)</t>
  </si>
  <si>
    <t>(Student reading silently)</t>
  </si>
  <si>
    <t>04:38-05:16</t>
  </si>
  <si>
    <t xml:space="preserve">All right, the first question on the page, the first question on the worksheet says, how does Golding describe Ralph's desire to be clean? How are the other boys in the island described? What does hygiene symbolize? There are a few questions there in the first question that I passed out in this literary analysis and reading practice. Anyone give me a quote from the book, from the book, Eric, maybe on 119. How does Ralph desire to be clean? Give me a quote from the book. </t>
  </si>
  <si>
    <t>05:16-05:34</t>
  </si>
  <si>
    <t>05:34-06:11</t>
  </si>
  <si>
    <t>06:11-06:25</t>
  </si>
  <si>
    <t>06:25-06:29</t>
  </si>
  <si>
    <t>06:29-06:33</t>
  </si>
  <si>
    <t>06:33-07:14</t>
  </si>
  <si>
    <t>07:14-07:37</t>
  </si>
  <si>
    <t>Unhygienic</t>
  </si>
  <si>
    <t>07:37-07:53</t>
  </si>
  <si>
    <t>07:53-07:55</t>
  </si>
  <si>
    <t>07:55-07:55</t>
  </si>
  <si>
    <t>08:07-08:08</t>
  </si>
  <si>
    <t>08:08-08:16</t>
  </si>
  <si>
    <t>Insanity, another word of insanity?</t>
  </si>
  <si>
    <t>08:16-08:17</t>
  </si>
  <si>
    <t>08:17-08:19</t>
  </si>
  <si>
    <t>08:19-08:20</t>
  </si>
  <si>
    <t>Savagery, right? So you can see the symbolism for their clothes on how they have now slowly descended into savagery, right? Ralph desires to be clean. Ralph desires to be civilized. However, the current situation is that they're not, right? They're dirty, they're filthy, they're unkempt. It's a good discussion. Anybody else wants to add another point about what Harry has said and what Avery has said or Astrea has said or Jason has said about civilization and savagery, using their clothes and their dirt and hygiene as a symbol? Anyone else like that? Hannah?  To that point. Anything that echoes from you or resonates with me here? About question one? Anybody have any other points to add to the conversation that we've been having? Julie?</t>
  </si>
  <si>
    <t>08:20-09:34</t>
  </si>
  <si>
    <t>09:34-09:46</t>
  </si>
  <si>
    <t>09:46-09:48</t>
  </si>
  <si>
    <t xml:space="preserve">Yeah. So he's, so like Golding is comparing Ralph and Jack and like whether they like being hygienic to kind of show their difference. </t>
  </si>
  <si>
    <t>09:48-09:57</t>
  </si>
  <si>
    <t>10:05-10:06</t>
  </si>
  <si>
    <t>10:06-10:07</t>
  </si>
  <si>
    <t>10:07-10:08</t>
  </si>
  <si>
    <t>10:08-10:23</t>
  </si>
  <si>
    <t>10:23-10:24</t>
  </si>
  <si>
    <t>10:24-13:21</t>
  </si>
  <si>
    <t>13:21-13:22</t>
  </si>
  <si>
    <t xml:space="preserve">So Jack was really hygienic and wowed and established in the earlier chapters, right? But now Ralph himself is... </t>
  </si>
  <si>
    <t>09:57-10:05</t>
  </si>
  <si>
    <t>I think it's more calm and more soothing</t>
  </si>
  <si>
    <t>Now, you're going to justify your interpretation to me. What do the waves represent or symbolize, what do you think, Aysis? The crashing of the waves, that unrelenting, monotonous crashing of the waves. It's on the other side of the island. What do you think? Just go for it. It's not a test or anything. It's just a discussion. Sorry, louder.</t>
  </si>
  <si>
    <t xml:space="preserve">Okay, so you feel it's more calm, right? You feel like the waves are soothing, it's bathing, it's relaxing, it's calming. Does anyone have a different opinion? Yes, Trevor. </t>
  </si>
  <si>
    <t>13:22-14:13</t>
  </si>
  <si>
    <t>14:13-14:20</t>
  </si>
  <si>
    <t>14:20-14:32</t>
  </si>
  <si>
    <t>14:32-14:39</t>
  </si>
  <si>
    <t>I think it symbolizes a barrier between them and the rescue</t>
  </si>
  <si>
    <t>14:39-15:10</t>
  </si>
  <si>
    <t>I think it has something to do with fear.</t>
  </si>
  <si>
    <t>15:10-15:20</t>
  </si>
  <si>
    <t>15:20-16:44</t>
  </si>
  <si>
    <t>16:44-16:45</t>
  </si>
  <si>
    <t>16:45-17:41</t>
  </si>
  <si>
    <t>Ohhh</t>
  </si>
  <si>
    <t>17:41-17:43</t>
  </si>
  <si>
    <t>17:43-17:55</t>
  </si>
  <si>
    <t>Yeah</t>
  </si>
  <si>
    <t>17:55-17:56</t>
  </si>
  <si>
    <t>17:56-18:26</t>
  </si>
  <si>
    <t xml:space="preserve">All right? And it's slowly breaking down, you see what I mean? When waves hit the rocks, it breaks down the rocks into sand, right? Do you see what I mean? It's my justification, but I think all your points are valid and that's a good discussion. Question 2B, or not 2B.That is the question. All right. Jude, can you read out question 2B for us? </t>
  </si>
  <si>
    <t xml:space="preserve">What is the mood when Golding uses reposition? Once was planted down, one was helpless, one was condemned, one was. Why did he end with a blank or a dash? </t>
  </si>
  <si>
    <t>18:26-18:38</t>
  </si>
  <si>
    <t>18:38-18:55</t>
  </si>
  <si>
    <t>18:55-18:56</t>
  </si>
  <si>
    <t>18:56-19:32</t>
  </si>
  <si>
    <t>19:32-19:32</t>
  </si>
  <si>
    <t>20:04-20:04</t>
  </si>
  <si>
    <t>20:05-20:50</t>
  </si>
  <si>
    <t xml:space="preserve">Yeah, are they positive or negative connotation words? Clamp down, helpless, condemn. </t>
  </si>
  <si>
    <t>19:32-19:44</t>
  </si>
  <si>
    <t>Because the words clamp down, helpness, condemn give you a negative connotation.</t>
  </si>
  <si>
    <t>19:44-19:55</t>
  </si>
  <si>
    <t>19:55-20:04</t>
  </si>
  <si>
    <t>20:50-20:58</t>
  </si>
  <si>
    <t>20:58-21:36</t>
  </si>
  <si>
    <t>21:36-21:38</t>
  </si>
  <si>
    <t>21:38-21:46</t>
  </si>
  <si>
    <t>21:46-21:49</t>
  </si>
  <si>
    <t xml:space="preserve">Very good. I like that. I like that. The future is unknown. When you put the dash, right, is it complete sentence or incomplete? The dash. </t>
  </si>
  <si>
    <t>21:49-23:08</t>
  </si>
  <si>
    <t>24:12-24:15</t>
  </si>
  <si>
    <t xml:space="preserve">How is this related to the mirage in the beginning of the book? Go to 122 and 123 now. At the bottom of 122, it says, once followed his father from Chatham to Davenport, they had left the cottage on the edge of the moors. In the succession of houses that Ralph had known, this one stood up a particular clarity because after the house he had been sent away to school. And you look at these, the comparison of 122 here and 123 here, that's about what? What kind of words of urbanization or civilization do you find? Jude, do you find anything? </t>
  </si>
  <si>
    <t>23:08-23:20</t>
  </si>
  <si>
    <t>23:20-24:12</t>
  </si>
  <si>
    <t>24:15-24:38</t>
  </si>
  <si>
    <t>24:38-24:38</t>
  </si>
  <si>
    <t>His family?</t>
  </si>
  <si>
    <t>24:38-24:51</t>
  </si>
  <si>
    <t>24:51-24:55</t>
  </si>
  <si>
    <t>25:19-25:20</t>
  </si>
  <si>
    <t>27:28-27:29</t>
  </si>
  <si>
    <t>24:55-25:19</t>
  </si>
  <si>
    <t>A cottage. A cottage means a home, right? Like a small little home, a cottage. Anything else that we see that they don't have in the island? Sorry, food yeah like cornflakes, right? Did you talk about cornflakes or something? Something about yeah a bowl of cornflakes right you see that on page 123? A bowl of cornflakes and then there's a garden and a window and a kettle and a plate, so these are all very domestic affairs right? Things that we take for, if we take them for granted, then you go to a home and you have a bed to sleep on, then you have food on your table. Do we take that for granted, Gwyneth? We do, right? Imagine now you're one month, like you're outward bound, you remember your outward bound experience? It's a little bit rougher, right? Not as comfortable as home, yeah? So think about it, if you guys went outward bound and you're here, you're outward bound for one month, you would feel a little bit unsheveled, disheveled, and uncapped, and a little bit dirty, and not hygienic, right? So let me give you my justification on question three. He's thinking about the food, the cottage. Ralph is visualizing and daydreaming about his home, his cottage, his parents, his dinner, his books, the idyllic past, in contrast to the harsh reality, the juxtaposition, right? He's an island stranded on an island waiting for rescue. All his dreams and desires seem real, yet they are merely a mirage, an illusion, a longing that could not be fulfilled. You understand? All right. Okay, Sarah, can you please help me pause it? Pause it, pause it. All right, goodbye class.</t>
  </si>
  <si>
    <t xml:space="preserve">On page 122 to 123, Ralph recalls his idyllic past. What is being described? How is this one related to the mirage in the beginning of the book? </t>
  </si>
  <si>
    <t>Students</t>
  </si>
  <si>
    <t>25:20-27:28</t>
  </si>
  <si>
    <t>APT moves</t>
    <phoneticPr fontId="4" type="noConversion"/>
  </si>
  <si>
    <t>Say more(T3)</t>
  </si>
  <si>
    <t>Revoice(T1)</t>
  </si>
  <si>
    <t>Press for reasoning(T2)</t>
  </si>
  <si>
    <t>Challenge(T4)</t>
  </si>
  <si>
    <t>Restate(1678976054)</t>
  </si>
  <si>
    <t>Agree/Disagree(1678976089)</t>
  </si>
  <si>
    <t>Add on(1678976097)</t>
  </si>
  <si>
    <t>Explain others(T5)</t>
  </si>
  <si>
    <t>word</t>
    <phoneticPr fontId="4" type="noConversion"/>
  </si>
  <si>
    <t xml:space="preserve">All right, good morning, class. </t>
    <phoneticPr fontId="4" type="noConversion"/>
  </si>
  <si>
    <t xml:space="preserve">Number </t>
    <phoneticPr fontId="4" type="noConversion"/>
  </si>
  <si>
    <t>Timestamp</t>
    <phoneticPr fontId="4" type="noConversion"/>
  </si>
  <si>
    <t>Speaker</t>
    <phoneticPr fontId="4" type="noConversion"/>
  </si>
  <si>
    <t>Utterance</t>
    <phoneticPr fontId="4" type="noConversion"/>
  </si>
  <si>
    <t>sum</t>
  </si>
  <si>
    <t>Teachers' total words</t>
  </si>
  <si>
    <t>Students' total words</t>
  </si>
  <si>
    <t>Total turns</t>
  </si>
  <si>
    <t>No. of teachers' turn</t>
  </si>
  <si>
    <t>No. of students' turn</t>
  </si>
  <si>
    <t>Teacher</t>
    <phoneticPr fontId="4" type="noConversion"/>
  </si>
  <si>
    <t xml:space="preserve">All right, so today we're going to continue our lesson on chapter 7 of Road of the Flies. What I'm going to do is I'm going to pass out a little worksheet, which you guys can do in pairs, and then you can discuss together in little groups.  All right, so it's a group discussion exercise, and it's not a test. </t>
    <phoneticPr fontId="4" type="noConversion"/>
  </si>
  <si>
    <t>The pilot's corpse was a parachute.</t>
    <phoneticPr fontId="4" type="noConversion"/>
  </si>
  <si>
    <t xml:space="preserve">Okay. The first question, here are your names, your class, class number on the worksheet so you don't lose it. So if we turn, turn to page 119 to 120. It's the song of chapter seven. So if you have your books, can you please turn to that? This is a quick recap. Does anyone remember the beast from the air? Who is the beast from the air in chapter six? </t>
    <phoneticPr fontId="4" type="noConversion"/>
  </si>
  <si>
    <t xml:space="preserve">So, read 119 and 120 about hygiene, or hygiene, and the clothes. </t>
    <phoneticPr fontId="4" type="noConversion"/>
  </si>
  <si>
    <t xml:space="preserve">He would like to have a pair of scissors that cut back his hair. From the back, cut his filthy hair right back to half an inch. He would like to have a bath, proper bottle of soap. He passes some experimentally over his teeth. And then decided that toothbrush would come in handy too. </t>
    <phoneticPr fontId="4" type="noConversion"/>
  </si>
  <si>
    <t>Okay, what do you think about that, Avery? What do you think about that? The point about the page 119, right? He says about cutting his hair, taking a bath, trimming his nails. What do you think about that? What's the implicature, if that's what the quote that Eric already mentioned? Page 119. What does it show about Ralph's current state? Avery?</t>
    <phoneticPr fontId="4" type="noConversion"/>
  </si>
  <si>
    <t xml:space="preserve">Oh, he wants to be civilized. Is that what you were trying to say? Okay, that's good, yeah. So his desire to cut his hair, his desire to brush his teeth, his desire to want to take a bath and soap and to be clean, is his desire for? Avery, desire for? His desire for civilization, right? All right. Shriya, do you have anything else to add about the other boys? How are they described on page 120, the other boys? Ralph felt that he was a bit unkempt and a little bit dirty, but how about the other boys? </t>
    <phoneticPr fontId="4" type="noConversion"/>
  </si>
  <si>
    <t>They were dirty, right? And the clothes, what were the clothes like? Worn away stiff, his own sweat. All right, so the clothes have not been washed, the hair has not been cut, all right? So would you say they're hygienic or unhygienic, Jake?</t>
    <phoneticPr fontId="4" type="noConversion"/>
  </si>
  <si>
    <t xml:space="preserve">Unhygienic, right? And unhygienic, clothes, dirt, filth, mud. This is a symbolism for, what do you think, Jason? </t>
    <phoneticPr fontId="4" type="noConversion"/>
  </si>
  <si>
    <t xml:space="preserve">I don't know if Golding intend to do this but I feel like he made a comparison with Jack and earlier when he saw when he was hunting he was like lying on the floor and he was really dirty. </t>
    <phoneticPr fontId="4" type="noConversion"/>
  </si>
  <si>
    <t xml:space="preserve">His desire is to be hygienic, right? The current situation, he doesn't have toothbrush, he doesn't have soap, he doesn't have fresh water and a bath water, he doesn't have scissors to cut his hair, right? So you can see Jack was the one that descended into savegery, first or last? So you can see Jack was the one that descended into savage dream first or last? </t>
    <phoneticPr fontId="4" type="noConversion"/>
  </si>
  <si>
    <t>Jack first, right? And now Ralph slowly also, his whole, the clothes, the hair, it's a symbol of his descend into savagery, you understand? Because we're getting more than halfway through the book already. Okay, if you look at question 2A now, I'm looking at the setting, page 120 and 121, at the bottom of 120. I'll read it out on the bottom of 120. Here, on the other side of the island, the view was absolutely different. The filmy enchantments of mirage could not endure the cold water, ocean water, and the horizon was hard. Cliff flew. Ralph wandered down to the rocks. Down here, almost on a level with the sea, you could follow with your eyes the ceaseless bulging passages of the deep sea waves. They were miles wide, apparently not breakers on the bad ridges of shallow water. They traveled the length of the island with an air of disregarding it. and being set on other businesses. There were less appropriate and momentous rise and fall of the whole ocean. This is the question I'm asking you. Now the sea would suck down, making cascades and waterfalls or retreating water, would sink past the rocks and plaster down the seaweed like shiny hair. Then, pausing, gather, and rise with a roar, irresistibly swelling over a pointed outcrop, climbing the little cliff, sending at last an arm of surf up a gully, which would enter a yard of surf from him in fingers of spray. Wave after wave, Ralph followed the rise and fall until something of the remoteness of the sea numbed his brain. Then gradually, the almost infinite size of this land forced itself on its attention. This was the divide of the barrier. On the other side of the island, swathed in midday with a mirage, defended by the shield of the fire lagoon, not my dream of rescue. But here, faced by the brute obstuteness of the ocean, the mouths of the vision, one was clamped down, one was helpless, one was condemned, one was... This is quite a hard question. This is more an advanced question. It says here, What do the crashing waves on 120-121 symbolize? Ralph sitting on the edge of the cliff, right? Uhm, Eileen? You see on page 120, 121, he's sitting near the shore. He's seeing the waves crash onto the shoreline, onto the clefts, onto the rocks. This is a hard question, and this is, remember what I've told you before, remember? Aysis, literature is the?</t>
    <phoneticPr fontId="4" type="noConversion"/>
  </si>
  <si>
    <t xml:space="preserve">I think it's in the book. Okay, yeah, so it's stated in the book, right? It's a barrier between them and the rescue. Okay? So she thinks it's, Isis thinks it's calm and relaxing, the waves washing over the shoreline. Trevor thinks it's slightly different. It might be to do with the barrier and kind of like the hopelessness of the situation. Okay, that's good. Anyone else has any other opinions or thoughts or differences or similarities? What do you think, Wyneth? </t>
    <phoneticPr fontId="4" type="noConversion"/>
  </si>
  <si>
    <t>Oh, the fear, very good. I like that too. The fear of how endless the oceans seem, right? It's like, they say in Chinese, "yi wang bu qi" , which means when you look at it, there's no barrier, right? The horizons and the sea meet at one point, all right? But if you think about it, what is contrasted with the waves? What's the other water that there was? All right, I'll go back to the point that Trevor made on page 121. It says, on the other side of the island, swamp at midday with mirage, defending the shield of the quiet lagoon. So we have two kinds of waters, right? The lagoon, is there waves in the lagoon, in the pond? No, is it calm there? The waves of the sea are roaring waves, the crashing of the waves. Is it calm there? I know Aysis said it's calm, but you have the lagoon, which is placid and calm, and there's no ripples. But then we have the crashing waves of the sea. So we're contrasting both, right? One's the sea, the waves, and one's the lagoon. So if we contrast, and we use the word, what's the word that starts with a J?</t>
    <phoneticPr fontId="4" type="noConversion"/>
  </si>
  <si>
    <t>Juxtaposition</t>
    <phoneticPr fontId="4" type="noConversion"/>
  </si>
  <si>
    <t xml:space="preserve">The juxtaposition between the lagoon and the waves. Now which is calmer, do you think? Lagoon, right? So my justification, or my interpretation, if you'd like to hear, is that the waves could be crashing against their stability. You understand? The waves are crashing against civilization. They were being worn down by the waves of savagery. We talked about the clothes already, right, in question one? The waves, in contrast, juxtaposed against the lagoon that was placid and calm, is roaring, wild, primal, and unrelenting. The waves are incessant and have to stop, outside our control. Do you see what I'm going to say now, Eric? Right? So the waves are a symbol of the crashing, the breaking down of civilization.  </t>
    <phoneticPr fontId="4" type="noConversion"/>
  </si>
  <si>
    <t xml:space="preserve">But the Landoon is ready, they have fun, they could play, there was nothing, and is the descent of savagery outside their control in that sense? It's unrelenting, right? It's incessant, it doesn't stop. </t>
    <phoneticPr fontId="4" type="noConversion"/>
  </si>
  <si>
    <t xml:space="preserve">Yeah, that's good. What do you think, guys? Girls? Katie, what do you think? 121. That's repetition, right? What is repeated, Katie? Any question to read? </t>
    <phoneticPr fontId="4" type="noConversion"/>
  </si>
  <si>
    <t>Or one was, right? what are the descriptive language used? One was is the repeated phrase, right? On page 121. But what kind of mood is evoked with the phrases that Golding used, Katie? Sorry?</t>
    <phoneticPr fontId="4" type="noConversion"/>
  </si>
  <si>
    <t>Helplessness. How do we get a sense of helplessness or hopelessness, right? What gives you that emotional reaction, from the words itself?</t>
    <phoneticPr fontId="4" type="noConversion"/>
  </si>
  <si>
    <t xml:space="preserve">Negative, right? Yeah, so we feel the negative connotation of the words, right? So remember when I say when you do your literary analysis, firstly look, is it positive or? Negative, right? And we can tell these are all negative connotations. Negative points, right? So, a sense of hopelessness, a sense of helplessness. And Reyna, what do you think he ended with a dash? One was, I'll repeat the phrase, one was clap down, one was helpless, one was condemned, one was deep dashed. </t>
    <phoneticPr fontId="4" type="noConversion"/>
  </si>
  <si>
    <t xml:space="preserve">Incomplete, right? You don't know the ending. But in some sense, Raina says you know the endings. Piggy will die, or someone will die, there's something ominous going to happen, foreshadowing. But then yet, at the same time, we don't know the ending, right? We don't know what's going to happen. Okay, let me do my justification on my interpretation. Ralph feels the suffocation. He feels that the boys are starting to rebel mutinously against his rule. A mood of despair hangs over Ralph's head, and the repetition reinforces Ralph's resignation that he has lost control. The blank would mean that he felt speechless. So ordered the reader was meant to fill in the blank for themselves. Imagining Ralph's desolation. All right, so this is all relating to all your points. The helplessness, the desolation, the fear of the loss of control. You understand? Does it make sense? All right. Page, question three. Kaylee, can you read question three for us out loud in your notes, please? Yes. Question three. </t>
    <phoneticPr fontId="4" type="noConversion"/>
  </si>
  <si>
    <t xml:space="preserve">They did not die yet. Okay, so maybe you feel that it's foreshadowed something bad might happen, something ominous might happen. That's probably true. Yeah, it's good. Anyone have any other opinions? Jade, give any opinions about clamp down, helplessness, and why you end up with a blank or dash? Why the dash though? It's what? </t>
    <phoneticPr fontId="4" type="noConversion"/>
  </si>
  <si>
    <t xml:space="preserve">Peaceful. </t>
    <phoneticPr fontId="4" type="noConversion"/>
  </si>
  <si>
    <t xml:space="preserve">Peaceful, yeah. What are some of the things that they don't have in the island that they have back in the little town, in the country or in the town? Ralph reminisces over the... </t>
    <phoneticPr fontId="4" type="noConversion"/>
  </si>
  <si>
    <t>His family, yeah. The relationships he has with his mom. And dad? Anything else? They have a what? I know it sounds simple. Do they have shelter in the island? What's the shelter they have in their hometown of Devonport and Chattel? A?</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</si>
</sst>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mm;@"/>
  </numFmts>
  <fonts count="8">
    <font>
      <sz val="12"/>
      <color theme="1"/>
      <name val="等线"/>
      <family val="2"/>
      <scheme val="minor"/>
    </font>
    <font>
      <sz val="12"/>
      <color rgb="FF000000"/>
      <name val="Arial"/>
      <family val="2"/>
    </font>
    <font>
      <sz val="12"/>
      <color theme="1"/>
      <name val="Arial"/>
      <family val="2"/>
    </font>
    <font>
      <b/>
      <sz val="12"/>
      <color theme="1"/>
      <name val="Calibri"/>
      <family val="2"/>
    </font>
    <font>
      <sz val="9"/>
      <name val="等线"/>
      <family val="3"/>
      <charset val="134"/>
      <scheme val="minor"/>
    </font>
    <font>
      <sz val="12"/>
      <color indexed="8"/>
      <name val="Helvetica"/>
      <family val="2"/>
    </font>
    <font>
      <sz val="11"/>
      <color indexed="8"/>
      <name val="Helvetica"/>
      <family val="2"/>
    </font>
    <font>
      <sz val="11"/>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2" fillId="0" borderId="0" xfId="0" applyFont="1"/>
    <xf numFmtId="176" fontId="2" fillId="0" borderId="0" xfId="0" applyNumberFormat="1" applyFont="1"/>
    <xf numFmtId="0" fontId="2" fillId="0" borderId="0" xfId="0" applyFont="1" applyAlignment="1">
      <alignment wrapText="1"/>
    </xf>
    <xf numFmtId="0" fontId="3" fillId="0" borderId="0" xfId="0" applyFont="1" applyAlignment="1">
      <alignment vertical="center"/>
    </xf>
    <xf numFmtId="0" fontId="5" fillId="0" borderId="0" xfId="0" applyFont="1"/>
    <xf numFmtId="0" fontId="6" fillId="0" borderId="0" xfId="0" applyFont="1"/>
    <xf numFmtId="0" fontId="7" fillId="0" borderId="0" xfId="0" applyFont="1"/>
    <xf numFmtId="0" fontId="3"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B3F5-6FD1-704D-9B7B-0E08363365F6}">
  <dimension ref="A1:M92"/>
  <sheetViews>
    <sheetView tabSelected="1" topLeftCell="C1" zoomScale="165" workbookViewId="0">
      <pane ySplit="2" topLeftCell="A84" activePane="bottomLeft" state="frozen"/>
      <selection activeCell="C1" sqref="C1"/>
      <selection pane="bottomLeft" activeCell="H84" sqref="H84"/>
    </sheetView>
  </sheetViews>
  <sheetFormatPr baseColWidth="10" defaultRowHeight="16"/>
  <cols>
    <col min="1" max="1" width="7.6640625" style="3" customWidth="1"/>
    <col min="2" max="2" width="13.6640625" style="4" customWidth="1"/>
    <col min="3" max="3" width="10.83203125" style="3"/>
    <col min="4" max="4" width="25.83203125" style="5" customWidth="1"/>
    <col min="5" max="16384" width="10.83203125" style="3"/>
  </cols>
  <sheetData>
    <row r="1" spans="1:13" ht="16" customHeight="1">
      <c r="A1" s="10" t="s">
        <v>152</v>
      </c>
      <c r="B1" s="10" t="s">
        <v>153</v>
      </c>
      <c r="C1" s="10" t="s">
        <v>154</v>
      </c>
      <c r="D1" s="10" t="s">
        <v>155</v>
      </c>
      <c r="E1" s="10" t="s">
        <v>150</v>
      </c>
      <c r="F1" s="10" t="s">
        <v>141</v>
      </c>
      <c r="G1" s="10"/>
      <c r="H1" s="10"/>
      <c r="I1" s="10"/>
      <c r="J1" s="10"/>
      <c r="K1" s="10"/>
      <c r="L1" s="10"/>
      <c r="M1" s="10"/>
    </row>
    <row r="2" spans="1:13">
      <c r="A2" s="10"/>
      <c r="B2" s="10"/>
      <c r="C2" s="10"/>
      <c r="D2" s="10"/>
      <c r="E2" s="10"/>
      <c r="F2" s="6" t="s">
        <v>142</v>
      </c>
      <c r="G2" s="6" t="s">
        <v>143</v>
      </c>
      <c r="H2" s="6" t="s">
        <v>144</v>
      </c>
      <c r="I2" s="6" t="s">
        <v>145</v>
      </c>
      <c r="J2" s="6" t="s">
        <v>146</v>
      </c>
      <c r="K2" s="6" t="s">
        <v>147</v>
      </c>
      <c r="L2" s="6" t="s">
        <v>148</v>
      </c>
      <c r="M2" s="6" t="s">
        <v>149</v>
      </c>
    </row>
    <row r="3" spans="1:13" ht="34">
      <c r="A3" s="3">
        <v>1</v>
      </c>
      <c r="B3" s="4" t="s">
        <v>9</v>
      </c>
      <c r="C3" s="3" t="s">
        <v>1</v>
      </c>
      <c r="D3" s="5" t="s">
        <v>151</v>
      </c>
      <c r="E3" s="3">
        <f>LEN(D3)-LEN(SUBSTITUTE(D3," ",""))+1</f>
        <v>6</v>
      </c>
    </row>
    <row r="4" spans="1:13" ht="17">
      <c r="A4" s="3">
        <v>2</v>
      </c>
      <c r="B4" s="4" t="s">
        <v>10</v>
      </c>
      <c r="C4" s="3" t="s">
        <v>2</v>
      </c>
      <c r="D4" s="5" t="s">
        <v>0</v>
      </c>
      <c r="E4" s="3">
        <f>LEN(D4)-LEN(SUBSTITUTE(D4," ",""))+1</f>
        <v>4</v>
      </c>
    </row>
    <row r="5" spans="1:13" ht="204">
      <c r="A5" s="3">
        <v>3</v>
      </c>
      <c r="B5" s="4" t="s">
        <v>11</v>
      </c>
      <c r="C5" s="3" t="s">
        <v>1</v>
      </c>
      <c r="D5" s="5" t="s">
        <v>163</v>
      </c>
      <c r="E5" s="3">
        <f t="shared" ref="E5:E68" si="0">LEN(D5)-LEN(SUBSTITUTE(D5," ",""))+1</f>
        <v>63</v>
      </c>
    </row>
    <row r="6" spans="1:13" ht="34">
      <c r="A6" s="3">
        <v>4</v>
      </c>
      <c r="B6" s="4" t="s">
        <v>12</v>
      </c>
      <c r="C6" s="3" t="s">
        <v>139</v>
      </c>
      <c r="D6" s="5" t="s">
        <v>48</v>
      </c>
      <c r="E6" s="3">
        <f t="shared" si="0"/>
        <v>3</v>
      </c>
    </row>
    <row r="7" spans="1:13" ht="238">
      <c r="A7" s="3">
        <v>5</v>
      </c>
      <c r="B7" s="4" t="s">
        <v>13</v>
      </c>
      <c r="C7" s="3" t="s">
        <v>1</v>
      </c>
      <c r="D7" s="5" t="s">
        <v>165</v>
      </c>
      <c r="E7" s="3">
        <f t="shared" si="0"/>
        <v>72</v>
      </c>
    </row>
    <row r="8" spans="1:13" ht="34">
      <c r="A8" s="3">
        <v>6</v>
      </c>
      <c r="B8" s="4" t="s">
        <v>14</v>
      </c>
      <c r="C8" s="3" t="s">
        <v>2</v>
      </c>
      <c r="D8" s="5" t="s">
        <v>164</v>
      </c>
      <c r="E8" s="3">
        <f t="shared" si="0"/>
        <v>6</v>
      </c>
    </row>
    <row r="9" spans="1:13" ht="340">
      <c r="A9" s="3">
        <v>7</v>
      </c>
      <c r="B9" s="4" t="s">
        <v>15</v>
      </c>
      <c r="C9" s="3" t="s">
        <v>1</v>
      </c>
      <c r="D9" s="5" t="s">
        <v>3</v>
      </c>
      <c r="E9" s="3">
        <f t="shared" si="0"/>
        <v>90</v>
      </c>
    </row>
    <row r="10" spans="1:13">
      <c r="A10" s="3">
        <v>8</v>
      </c>
      <c r="B10" s="4" t="s">
        <v>16</v>
      </c>
      <c r="C10" s="3" t="s">
        <v>2</v>
      </c>
      <c r="D10" s="1" t="s">
        <v>4</v>
      </c>
      <c r="E10" s="3">
        <f t="shared" si="0"/>
        <v>4</v>
      </c>
    </row>
    <row r="11" spans="1:13">
      <c r="A11" s="3">
        <v>9</v>
      </c>
      <c r="B11" s="4" t="s">
        <v>17</v>
      </c>
      <c r="C11" s="3" t="s">
        <v>1</v>
      </c>
      <c r="D11" s="1" t="s">
        <v>6</v>
      </c>
      <c r="E11" s="3">
        <f t="shared" si="0"/>
        <v>14</v>
      </c>
    </row>
    <row r="12" spans="1:13" ht="17">
      <c r="A12" s="3">
        <v>10</v>
      </c>
      <c r="B12" s="4" t="s">
        <v>18</v>
      </c>
      <c r="C12" s="3" t="s">
        <v>2</v>
      </c>
      <c r="D12" s="5" t="s">
        <v>7</v>
      </c>
      <c r="E12" s="3">
        <f t="shared" si="0"/>
        <v>3</v>
      </c>
    </row>
    <row r="13" spans="1:13">
      <c r="A13" s="3">
        <v>11</v>
      </c>
      <c r="B13" s="4" t="s">
        <v>19</v>
      </c>
      <c r="C13" s="3" t="s">
        <v>1</v>
      </c>
      <c r="D13" s="1" t="s">
        <v>5</v>
      </c>
      <c r="E13" s="3">
        <f t="shared" si="0"/>
        <v>14</v>
      </c>
    </row>
    <row r="14" spans="1:13" ht="17">
      <c r="A14" s="3">
        <v>12</v>
      </c>
      <c r="B14" s="4" t="s">
        <v>20</v>
      </c>
      <c r="C14" s="3" t="s">
        <v>2</v>
      </c>
      <c r="D14" s="5" t="s">
        <v>8</v>
      </c>
      <c r="E14" s="3">
        <f t="shared" si="0"/>
        <v>2</v>
      </c>
    </row>
    <row r="15" spans="1:13" ht="17">
      <c r="A15" s="3">
        <v>13</v>
      </c>
      <c r="B15" s="4" t="s">
        <v>21</v>
      </c>
      <c r="C15" s="3" t="s">
        <v>139</v>
      </c>
      <c r="D15" s="5" t="s">
        <v>49</v>
      </c>
      <c r="E15" s="3">
        <f t="shared" si="0"/>
        <v>3</v>
      </c>
    </row>
    <row r="16" spans="1:13" ht="51">
      <c r="A16" s="3">
        <v>14</v>
      </c>
      <c r="B16" s="4" t="s">
        <v>22</v>
      </c>
      <c r="C16" s="3" t="s">
        <v>1</v>
      </c>
      <c r="D16" s="5" t="s">
        <v>166</v>
      </c>
      <c r="E16" s="3">
        <f t="shared" si="0"/>
        <v>13</v>
      </c>
    </row>
    <row r="17" spans="1:13" ht="17">
      <c r="A17" s="3">
        <v>15</v>
      </c>
      <c r="B17" s="4" t="s">
        <v>23</v>
      </c>
      <c r="C17" s="3" t="s">
        <v>139</v>
      </c>
      <c r="D17" s="5" t="s">
        <v>49</v>
      </c>
      <c r="E17" s="3">
        <f t="shared" si="0"/>
        <v>3</v>
      </c>
    </row>
    <row r="18" spans="1:13" ht="323">
      <c r="A18" s="3">
        <v>16</v>
      </c>
      <c r="B18" s="4" t="s">
        <v>50</v>
      </c>
      <c r="C18" s="3" t="s">
        <v>1</v>
      </c>
      <c r="D18" s="5" t="s">
        <v>51</v>
      </c>
      <c r="E18" s="3">
        <f t="shared" si="0"/>
        <v>88</v>
      </c>
    </row>
    <row r="19" spans="1:13" ht="204">
      <c r="A19" s="3">
        <v>17</v>
      </c>
      <c r="B19" s="4" t="s">
        <v>52</v>
      </c>
      <c r="C19" s="3" t="s">
        <v>2</v>
      </c>
      <c r="D19" s="5" t="s">
        <v>167</v>
      </c>
      <c r="E19" s="3">
        <f t="shared" si="0"/>
        <v>56</v>
      </c>
    </row>
    <row r="20" spans="1:13" ht="255">
      <c r="A20" s="3">
        <v>18</v>
      </c>
      <c r="B20" s="4" t="s">
        <v>53</v>
      </c>
      <c r="C20" s="3" t="s">
        <v>1</v>
      </c>
      <c r="D20" s="5" t="s">
        <v>168</v>
      </c>
      <c r="E20" s="3">
        <f t="shared" si="0"/>
        <v>62</v>
      </c>
      <c r="M20" s="3">
        <v>1</v>
      </c>
    </row>
    <row r="21" spans="1:13">
      <c r="A21" s="3">
        <v>19</v>
      </c>
      <c r="B21" s="4" t="s">
        <v>54</v>
      </c>
      <c r="C21" s="3" t="s">
        <v>2</v>
      </c>
      <c r="D21" s="1" t="s">
        <v>24</v>
      </c>
      <c r="E21" s="3">
        <f t="shared" si="0"/>
        <v>1</v>
      </c>
    </row>
    <row r="22" spans="1:13" ht="51">
      <c r="A22" s="3">
        <v>20</v>
      </c>
      <c r="B22" s="4" t="s">
        <v>55</v>
      </c>
      <c r="C22" s="3" t="s">
        <v>1</v>
      </c>
      <c r="D22" s="5" t="s">
        <v>25</v>
      </c>
      <c r="E22" s="3">
        <f t="shared" si="0"/>
        <v>15</v>
      </c>
      <c r="F22" s="3">
        <v>1</v>
      </c>
    </row>
    <row r="23" spans="1:13" ht="34">
      <c r="A23" s="3">
        <v>21</v>
      </c>
      <c r="B23" s="4" t="s">
        <v>56</v>
      </c>
      <c r="C23" s="3" t="s">
        <v>2</v>
      </c>
      <c r="D23" s="5" t="s">
        <v>26</v>
      </c>
      <c r="E23" s="3">
        <f t="shared" si="0"/>
        <v>7</v>
      </c>
    </row>
    <row r="24" spans="1:13" ht="340">
      <c r="A24" s="3">
        <v>22</v>
      </c>
      <c r="B24" s="4" t="s">
        <v>57</v>
      </c>
      <c r="C24" s="3" t="s">
        <v>1</v>
      </c>
      <c r="D24" s="5" t="s">
        <v>169</v>
      </c>
      <c r="E24" s="3">
        <f t="shared" si="0"/>
        <v>101</v>
      </c>
      <c r="L24" s="3">
        <v>1</v>
      </c>
    </row>
    <row r="25" spans="1:13" ht="17">
      <c r="A25" s="3">
        <v>23</v>
      </c>
      <c r="B25" s="4" t="s">
        <v>58</v>
      </c>
      <c r="C25" s="3" t="s">
        <v>2</v>
      </c>
      <c r="D25" s="5" t="s">
        <v>27</v>
      </c>
      <c r="E25" s="3">
        <f t="shared" si="0"/>
        <v>4</v>
      </c>
    </row>
    <row r="26" spans="1:13" ht="170">
      <c r="A26" s="3">
        <v>24</v>
      </c>
      <c r="B26" s="4" t="s">
        <v>60</v>
      </c>
      <c r="C26" s="3" t="s">
        <v>1</v>
      </c>
      <c r="D26" s="5" t="s">
        <v>170</v>
      </c>
      <c r="E26" s="3">
        <f t="shared" si="0"/>
        <v>44</v>
      </c>
      <c r="L26" s="3">
        <v>1</v>
      </c>
    </row>
    <row r="27" spans="1:13" ht="17">
      <c r="A27" s="3">
        <v>25</v>
      </c>
      <c r="B27" s="4" t="s">
        <v>61</v>
      </c>
      <c r="C27" s="3" t="s">
        <v>2</v>
      </c>
      <c r="D27" s="5" t="s">
        <v>59</v>
      </c>
      <c r="E27" s="3">
        <f t="shared" si="0"/>
        <v>1</v>
      </c>
    </row>
    <row r="28" spans="1:13" ht="85">
      <c r="A28" s="3">
        <v>26</v>
      </c>
      <c r="B28" s="4" t="s">
        <v>62</v>
      </c>
      <c r="C28" s="3" t="s">
        <v>1</v>
      </c>
      <c r="D28" s="5" t="s">
        <v>171</v>
      </c>
      <c r="E28" s="3">
        <f t="shared" si="0"/>
        <v>19</v>
      </c>
      <c r="L28" s="3">
        <v>1</v>
      </c>
    </row>
    <row r="29" spans="1:13" ht="17">
      <c r="A29" s="3">
        <v>27</v>
      </c>
      <c r="B29" s="4" t="s">
        <v>63</v>
      </c>
      <c r="C29" s="3" t="s">
        <v>2</v>
      </c>
      <c r="D29" s="5" t="s">
        <v>28</v>
      </c>
      <c r="E29" s="3">
        <f t="shared" si="0"/>
        <v>3</v>
      </c>
    </row>
    <row r="30" spans="1:13" ht="51">
      <c r="A30" s="3">
        <v>28</v>
      </c>
      <c r="B30" s="4" t="s">
        <v>64</v>
      </c>
      <c r="C30" s="3" t="s">
        <v>1</v>
      </c>
      <c r="D30" s="5" t="s">
        <v>29</v>
      </c>
      <c r="E30" s="3">
        <f t="shared" si="0"/>
        <v>8</v>
      </c>
      <c r="F30" s="3">
        <v>1</v>
      </c>
    </row>
    <row r="31" spans="1:13" ht="17">
      <c r="A31" s="3">
        <v>29</v>
      </c>
      <c r="B31" s="4" t="s">
        <v>66</v>
      </c>
      <c r="C31" s="3" t="s">
        <v>2</v>
      </c>
      <c r="D31" s="5" t="s">
        <v>30</v>
      </c>
      <c r="E31" s="3">
        <f t="shared" si="0"/>
        <v>1</v>
      </c>
    </row>
    <row r="32" spans="1:13" ht="34">
      <c r="A32" s="3">
        <v>30</v>
      </c>
      <c r="B32" s="4" t="s">
        <v>67</v>
      </c>
      <c r="C32" s="3" t="s">
        <v>1</v>
      </c>
      <c r="D32" s="5" t="s">
        <v>65</v>
      </c>
      <c r="E32" s="3">
        <f t="shared" si="0"/>
        <v>5</v>
      </c>
      <c r="F32" s="3">
        <v>1</v>
      </c>
    </row>
    <row r="33" spans="1:12" ht="17">
      <c r="A33" s="3">
        <v>31</v>
      </c>
      <c r="B33" s="4" t="s">
        <v>68</v>
      </c>
      <c r="C33" s="3" t="s">
        <v>2</v>
      </c>
      <c r="D33" s="5" t="s">
        <v>31</v>
      </c>
      <c r="E33" s="3">
        <f t="shared" si="0"/>
        <v>1</v>
      </c>
    </row>
    <row r="34" spans="1:12" ht="409.6">
      <c r="A34" s="3">
        <v>32</v>
      </c>
      <c r="B34" s="4" t="s">
        <v>70</v>
      </c>
      <c r="C34" s="3" t="s">
        <v>1</v>
      </c>
      <c r="D34" s="5" t="s">
        <v>69</v>
      </c>
      <c r="E34" s="3">
        <f t="shared" si="0"/>
        <v>127</v>
      </c>
      <c r="L34" s="3">
        <v>1</v>
      </c>
    </row>
    <row r="35" spans="1:12" ht="136">
      <c r="A35" s="3">
        <v>33</v>
      </c>
      <c r="B35" s="4" t="s">
        <v>71</v>
      </c>
      <c r="C35" s="3" t="s">
        <v>2</v>
      </c>
      <c r="D35" s="5" t="s">
        <v>172</v>
      </c>
      <c r="E35" s="3">
        <f t="shared" si="0"/>
        <v>41</v>
      </c>
    </row>
    <row r="36" spans="1:12" ht="17">
      <c r="A36" s="3">
        <v>34</v>
      </c>
      <c r="B36" s="4" t="s">
        <v>72</v>
      </c>
      <c r="C36" s="3" t="s">
        <v>1</v>
      </c>
      <c r="D36" s="5" t="s">
        <v>32</v>
      </c>
      <c r="E36" s="3">
        <f t="shared" si="0"/>
        <v>6</v>
      </c>
      <c r="G36" s="3">
        <v>1</v>
      </c>
    </row>
    <row r="37" spans="1:12" ht="102">
      <c r="A37" s="3">
        <v>35</v>
      </c>
      <c r="B37" s="4" t="s">
        <v>74</v>
      </c>
      <c r="C37" s="3" t="s">
        <v>2</v>
      </c>
      <c r="D37" s="5" t="s">
        <v>73</v>
      </c>
      <c r="E37" s="3">
        <f t="shared" si="0"/>
        <v>25</v>
      </c>
    </row>
    <row r="38" spans="1:12" ht="85">
      <c r="A38" s="3">
        <v>36</v>
      </c>
      <c r="B38" s="4" t="s">
        <v>83</v>
      </c>
      <c r="C38" s="3" t="s">
        <v>1</v>
      </c>
      <c r="D38" s="5" t="s">
        <v>82</v>
      </c>
      <c r="E38" s="3">
        <f t="shared" si="0"/>
        <v>20</v>
      </c>
      <c r="F38" s="3">
        <v>1</v>
      </c>
    </row>
    <row r="39" spans="1:12" ht="17">
      <c r="A39" s="3">
        <v>37</v>
      </c>
      <c r="B39" s="4" t="s">
        <v>75</v>
      </c>
      <c r="C39" s="3" t="s">
        <v>2</v>
      </c>
      <c r="D39" s="5" t="s">
        <v>34</v>
      </c>
      <c r="E39" s="3">
        <f t="shared" si="0"/>
        <v>2</v>
      </c>
    </row>
    <row r="40" spans="1:12" ht="17">
      <c r="A40" s="3">
        <v>38</v>
      </c>
      <c r="B40" s="4" t="s">
        <v>76</v>
      </c>
      <c r="C40" s="3" t="s">
        <v>1</v>
      </c>
      <c r="D40" s="5" t="s">
        <v>33</v>
      </c>
      <c r="E40" s="3">
        <f t="shared" si="0"/>
        <v>4</v>
      </c>
      <c r="I40" s="3">
        <v>1</v>
      </c>
    </row>
    <row r="41" spans="1:12" ht="17">
      <c r="A41" s="3">
        <v>39</v>
      </c>
      <c r="B41" s="4" t="s">
        <v>77</v>
      </c>
      <c r="C41" s="3" t="s">
        <v>2</v>
      </c>
      <c r="D41" s="5" t="s">
        <v>35</v>
      </c>
      <c r="E41" s="3">
        <f t="shared" si="0"/>
        <v>5</v>
      </c>
    </row>
    <row r="42" spans="1:12" ht="238">
      <c r="A42" s="3">
        <v>40</v>
      </c>
      <c r="B42" s="4" t="s">
        <v>78</v>
      </c>
      <c r="C42" s="3" t="s">
        <v>1</v>
      </c>
      <c r="D42" s="5" t="s">
        <v>173</v>
      </c>
      <c r="E42" s="3">
        <f t="shared" si="0"/>
        <v>68</v>
      </c>
    </row>
    <row r="43" spans="1:12" ht="17">
      <c r="A43" s="3">
        <v>41</v>
      </c>
      <c r="B43" s="4" t="s">
        <v>79</v>
      </c>
      <c r="C43" s="3" t="s">
        <v>2</v>
      </c>
      <c r="D43" s="5" t="s">
        <v>36</v>
      </c>
      <c r="E43" s="3">
        <f t="shared" si="0"/>
        <v>3</v>
      </c>
    </row>
    <row r="44" spans="1:12" ht="409.6">
      <c r="A44" s="3">
        <v>42</v>
      </c>
      <c r="B44" s="4" t="s">
        <v>80</v>
      </c>
      <c r="C44" s="3" t="s">
        <v>1</v>
      </c>
      <c r="D44" s="5" t="s">
        <v>174</v>
      </c>
      <c r="E44" s="3">
        <f t="shared" si="0"/>
        <v>420</v>
      </c>
    </row>
    <row r="45" spans="1:12" ht="34">
      <c r="A45" s="3">
        <v>43</v>
      </c>
      <c r="B45" s="4" t="s">
        <v>81</v>
      </c>
      <c r="C45" s="3" t="s">
        <v>2</v>
      </c>
      <c r="D45" s="5" t="s">
        <v>37</v>
      </c>
      <c r="E45" s="3">
        <f t="shared" si="0"/>
        <v>4</v>
      </c>
    </row>
    <row r="46" spans="1:12" ht="238">
      <c r="A46" s="3">
        <v>44</v>
      </c>
      <c r="B46" s="4" t="s">
        <v>87</v>
      </c>
      <c r="C46" s="3" t="s">
        <v>1</v>
      </c>
      <c r="D46" s="5" t="s">
        <v>85</v>
      </c>
      <c r="E46" s="3">
        <f t="shared" si="0"/>
        <v>61</v>
      </c>
    </row>
    <row r="47" spans="1:12" ht="34">
      <c r="A47" s="3">
        <v>45</v>
      </c>
      <c r="B47" s="4" t="s">
        <v>88</v>
      </c>
      <c r="C47" s="3" t="s">
        <v>2</v>
      </c>
      <c r="D47" s="5" t="s">
        <v>84</v>
      </c>
      <c r="E47" s="3">
        <f t="shared" si="0"/>
        <v>8</v>
      </c>
    </row>
    <row r="48" spans="1:12" ht="119">
      <c r="A48" s="3">
        <v>46</v>
      </c>
      <c r="B48" s="4" t="s">
        <v>89</v>
      </c>
      <c r="C48" s="3" t="s">
        <v>1</v>
      </c>
      <c r="D48" s="5" t="s">
        <v>86</v>
      </c>
      <c r="E48" s="3">
        <f t="shared" si="0"/>
        <v>30</v>
      </c>
      <c r="L48" s="3">
        <v>1</v>
      </c>
    </row>
    <row r="49" spans="1:12" ht="51">
      <c r="A49" s="3">
        <v>47</v>
      </c>
      <c r="B49" s="4" t="s">
        <v>90</v>
      </c>
      <c r="C49" s="3" t="s">
        <v>2</v>
      </c>
      <c r="D49" s="5" t="s">
        <v>91</v>
      </c>
      <c r="E49" s="3">
        <f t="shared" si="0"/>
        <v>11</v>
      </c>
    </row>
    <row r="50" spans="1:12" ht="323">
      <c r="A50" s="3">
        <v>48</v>
      </c>
      <c r="B50" s="4" t="s">
        <v>92</v>
      </c>
      <c r="C50" s="3" t="s">
        <v>1</v>
      </c>
      <c r="D50" s="5" t="s">
        <v>175</v>
      </c>
      <c r="E50" s="3">
        <f t="shared" si="0"/>
        <v>83</v>
      </c>
      <c r="L50" s="3">
        <v>1</v>
      </c>
    </row>
    <row r="51" spans="1:12" ht="34">
      <c r="A51" s="3">
        <v>49</v>
      </c>
      <c r="B51" s="4" t="s">
        <v>94</v>
      </c>
      <c r="C51" s="3" t="s">
        <v>2</v>
      </c>
      <c r="D51" s="5" t="s">
        <v>93</v>
      </c>
      <c r="E51" s="3">
        <f t="shared" si="0"/>
        <v>9</v>
      </c>
    </row>
    <row r="52" spans="1:12" ht="409.6">
      <c r="A52" s="3">
        <v>50</v>
      </c>
      <c r="B52" s="4" t="s">
        <v>95</v>
      </c>
      <c r="C52" s="3" t="s">
        <v>1</v>
      </c>
      <c r="D52" s="5" t="s">
        <v>176</v>
      </c>
      <c r="E52" s="3">
        <f t="shared" si="0"/>
        <v>207</v>
      </c>
    </row>
    <row r="53" spans="1:12" ht="17">
      <c r="A53" s="3">
        <v>51</v>
      </c>
      <c r="B53" s="4" t="s">
        <v>96</v>
      </c>
      <c r="C53" s="3" t="s">
        <v>2</v>
      </c>
      <c r="D53" s="5" t="s">
        <v>177</v>
      </c>
      <c r="E53" s="3">
        <f t="shared" si="0"/>
        <v>1</v>
      </c>
    </row>
    <row r="54" spans="1:12" ht="409.6">
      <c r="A54" s="3">
        <v>52</v>
      </c>
      <c r="B54" s="4" t="s">
        <v>97</v>
      </c>
      <c r="C54" s="3" t="s">
        <v>1</v>
      </c>
      <c r="D54" s="5" t="s">
        <v>178</v>
      </c>
      <c r="E54" s="3">
        <f t="shared" si="0"/>
        <v>123</v>
      </c>
    </row>
    <row r="55" spans="1:12" ht="17">
      <c r="A55" s="3">
        <v>53</v>
      </c>
      <c r="B55" s="4" t="s">
        <v>99</v>
      </c>
      <c r="C55" s="3" t="s">
        <v>2</v>
      </c>
      <c r="D55" s="5" t="s">
        <v>98</v>
      </c>
      <c r="E55" s="3">
        <f t="shared" si="0"/>
        <v>1</v>
      </c>
    </row>
    <row r="56" spans="1:12" ht="136">
      <c r="A56" s="3">
        <v>54</v>
      </c>
      <c r="B56" s="4" t="s">
        <v>100</v>
      </c>
      <c r="C56" s="3" t="s">
        <v>1</v>
      </c>
      <c r="D56" s="5" t="s">
        <v>179</v>
      </c>
      <c r="E56" s="3">
        <f t="shared" si="0"/>
        <v>35</v>
      </c>
    </row>
    <row r="57" spans="1:12" ht="17">
      <c r="A57" s="3">
        <v>55</v>
      </c>
      <c r="B57" s="4" t="s">
        <v>102</v>
      </c>
      <c r="C57" s="3" t="s">
        <v>2</v>
      </c>
      <c r="D57" s="5" t="s">
        <v>101</v>
      </c>
      <c r="E57" s="3">
        <f t="shared" si="0"/>
        <v>1</v>
      </c>
    </row>
    <row r="58" spans="1:12" ht="238">
      <c r="A58" s="3">
        <v>56</v>
      </c>
      <c r="B58" s="4" t="s">
        <v>103</v>
      </c>
      <c r="C58" s="3" t="s">
        <v>1</v>
      </c>
      <c r="D58" s="5" t="s">
        <v>104</v>
      </c>
      <c r="E58" s="3">
        <f t="shared" si="0"/>
        <v>67</v>
      </c>
    </row>
    <row r="59" spans="1:12" ht="119">
      <c r="A59" s="3">
        <v>57</v>
      </c>
      <c r="B59" s="4" t="s">
        <v>106</v>
      </c>
      <c r="C59" s="3" t="s">
        <v>2</v>
      </c>
      <c r="D59" s="2" t="s">
        <v>105</v>
      </c>
      <c r="E59" s="3">
        <f t="shared" si="0"/>
        <v>30</v>
      </c>
    </row>
    <row r="60" spans="1:12" ht="102">
      <c r="A60" s="3">
        <v>58</v>
      </c>
      <c r="B60" s="4" t="s">
        <v>107</v>
      </c>
      <c r="C60" s="3" t="s">
        <v>1</v>
      </c>
      <c r="D60" s="5" t="s">
        <v>180</v>
      </c>
      <c r="E60" s="3">
        <f t="shared" si="0"/>
        <v>27</v>
      </c>
    </row>
    <row r="61" spans="1:12" ht="17">
      <c r="A61" s="3">
        <v>59</v>
      </c>
      <c r="B61" s="4" t="s">
        <v>108</v>
      </c>
      <c r="C61" s="3" t="s">
        <v>2</v>
      </c>
      <c r="D61" s="5" t="s">
        <v>38</v>
      </c>
      <c r="E61" s="3">
        <f t="shared" si="0"/>
        <v>1</v>
      </c>
    </row>
    <row r="62" spans="1:12" ht="136">
      <c r="A62" s="3">
        <v>60</v>
      </c>
      <c r="B62" s="4" t="s">
        <v>109</v>
      </c>
      <c r="C62" s="3" t="s">
        <v>1</v>
      </c>
      <c r="D62" s="5" t="s">
        <v>181</v>
      </c>
      <c r="E62" s="3">
        <f t="shared" si="0"/>
        <v>35</v>
      </c>
    </row>
    <row r="63" spans="1:12">
      <c r="A63" s="3">
        <v>61</v>
      </c>
      <c r="B63" s="4" t="s">
        <v>110</v>
      </c>
      <c r="C63" s="3" t="s">
        <v>2</v>
      </c>
      <c r="D63" s="1" t="s">
        <v>39</v>
      </c>
      <c r="E63" s="3">
        <f t="shared" si="0"/>
        <v>1</v>
      </c>
    </row>
    <row r="64" spans="1:12" ht="119">
      <c r="A64" s="3">
        <v>62</v>
      </c>
      <c r="B64" s="4" t="s">
        <v>114</v>
      </c>
      <c r="C64" s="3" t="s">
        <v>1</v>
      </c>
      <c r="D64" s="5" t="s">
        <v>182</v>
      </c>
      <c r="E64" s="3">
        <f t="shared" si="0"/>
        <v>21</v>
      </c>
      <c r="H64" s="3">
        <v>1</v>
      </c>
    </row>
    <row r="65" spans="1:12" ht="68">
      <c r="A65" s="3">
        <v>63</v>
      </c>
      <c r="B65" s="4" t="s">
        <v>116</v>
      </c>
      <c r="C65" s="3" t="s">
        <v>2</v>
      </c>
      <c r="D65" s="5" t="s">
        <v>115</v>
      </c>
      <c r="E65" s="3">
        <f t="shared" si="0"/>
        <v>12</v>
      </c>
    </row>
    <row r="66" spans="1:12" ht="68">
      <c r="A66" s="3">
        <v>64</v>
      </c>
      <c r="B66" s="4" t="s">
        <v>117</v>
      </c>
      <c r="C66" s="3" t="s">
        <v>1</v>
      </c>
      <c r="D66" s="5" t="s">
        <v>113</v>
      </c>
      <c r="E66" s="3">
        <f t="shared" si="0"/>
        <v>13</v>
      </c>
      <c r="F66" s="3">
        <v>1</v>
      </c>
    </row>
    <row r="67" spans="1:12" ht="17">
      <c r="A67" s="3">
        <v>65</v>
      </c>
      <c r="B67" s="4" t="s">
        <v>111</v>
      </c>
      <c r="C67" s="3" t="s">
        <v>2</v>
      </c>
      <c r="D67" s="5" t="s">
        <v>40</v>
      </c>
      <c r="E67" s="3">
        <f t="shared" si="0"/>
        <v>1</v>
      </c>
    </row>
    <row r="68" spans="1:12" ht="340">
      <c r="A68" s="3">
        <v>66</v>
      </c>
      <c r="B68" s="4" t="s">
        <v>112</v>
      </c>
      <c r="C68" s="3" t="s">
        <v>1</v>
      </c>
      <c r="D68" s="2" t="s">
        <v>183</v>
      </c>
      <c r="E68" s="3">
        <f t="shared" si="0"/>
        <v>84</v>
      </c>
    </row>
    <row r="69" spans="1:12" ht="51">
      <c r="A69" s="3">
        <v>67</v>
      </c>
      <c r="B69" s="4" t="s">
        <v>118</v>
      </c>
      <c r="C69" s="3" t="s">
        <v>2</v>
      </c>
      <c r="D69" s="5" t="s">
        <v>41</v>
      </c>
      <c r="E69" s="3">
        <f t="shared" ref="E69:E85" si="1">LEN(D69)-LEN(SUBSTITUTE(D69," ",""))+1</f>
        <v>11</v>
      </c>
    </row>
    <row r="70" spans="1:12" ht="238">
      <c r="A70" s="3">
        <v>68</v>
      </c>
      <c r="B70" s="4" t="s">
        <v>119</v>
      </c>
      <c r="C70" s="3" t="s">
        <v>1</v>
      </c>
      <c r="D70" s="5" t="s">
        <v>185</v>
      </c>
      <c r="E70" s="3">
        <f t="shared" si="1"/>
        <v>57</v>
      </c>
      <c r="L70" s="3">
        <v>1</v>
      </c>
    </row>
    <row r="71" spans="1:12" ht="34">
      <c r="A71" s="3">
        <v>69</v>
      </c>
      <c r="B71" s="4" t="s">
        <v>120</v>
      </c>
      <c r="C71" s="3" t="s">
        <v>2</v>
      </c>
      <c r="D71" s="5" t="s">
        <v>42</v>
      </c>
      <c r="E71" s="3">
        <f t="shared" si="1"/>
        <v>4</v>
      </c>
    </row>
    <row r="72" spans="1:12" ht="102">
      <c r="A72" s="3">
        <v>70</v>
      </c>
      <c r="B72" s="4" t="s">
        <v>121</v>
      </c>
      <c r="C72" s="3" t="s">
        <v>1</v>
      </c>
      <c r="D72" s="5" t="s">
        <v>123</v>
      </c>
      <c r="E72" s="3">
        <f t="shared" si="1"/>
        <v>27</v>
      </c>
    </row>
    <row r="73" spans="1:12">
      <c r="A73" s="3">
        <v>71</v>
      </c>
      <c r="B73" s="4" t="s">
        <v>122</v>
      </c>
      <c r="C73" s="3" t="s">
        <v>2</v>
      </c>
      <c r="D73" s="1" t="s">
        <v>43</v>
      </c>
      <c r="E73" s="3">
        <f t="shared" si="1"/>
        <v>1</v>
      </c>
      <c r="F73" s="3">
        <v>1</v>
      </c>
    </row>
    <row r="74" spans="1:12" ht="409.6">
      <c r="A74" s="3">
        <v>72</v>
      </c>
      <c r="B74" s="4" t="s">
        <v>124</v>
      </c>
      <c r="C74" s="3" t="s">
        <v>1</v>
      </c>
      <c r="D74" s="5" t="s">
        <v>184</v>
      </c>
      <c r="E74" s="3">
        <f t="shared" si="1"/>
        <v>171</v>
      </c>
    </row>
    <row r="75" spans="1:12" ht="102">
      <c r="A75" s="3">
        <v>73</v>
      </c>
      <c r="B75" s="4" t="s">
        <v>127</v>
      </c>
      <c r="C75" s="3" t="s">
        <v>2</v>
      </c>
      <c r="D75" s="5" t="s">
        <v>138</v>
      </c>
      <c r="E75" s="3">
        <f t="shared" si="1"/>
        <v>29</v>
      </c>
    </row>
    <row r="76" spans="1:12" ht="356">
      <c r="A76" s="3">
        <v>74</v>
      </c>
      <c r="B76" s="4" t="s">
        <v>128</v>
      </c>
      <c r="C76" s="3" t="s">
        <v>1</v>
      </c>
      <c r="D76" s="5" t="s">
        <v>126</v>
      </c>
      <c r="E76" s="3">
        <f t="shared" si="1"/>
        <v>105</v>
      </c>
    </row>
    <row r="77" spans="1:12" ht="17">
      <c r="A77" s="3">
        <v>75</v>
      </c>
      <c r="B77" s="4" t="s">
        <v>125</v>
      </c>
      <c r="C77" s="3" t="s">
        <v>2</v>
      </c>
      <c r="D77" s="5" t="s">
        <v>44</v>
      </c>
      <c r="E77" s="3">
        <f t="shared" si="1"/>
        <v>3</v>
      </c>
    </row>
    <row r="78" spans="1:12" ht="136">
      <c r="A78" s="3">
        <v>76</v>
      </c>
      <c r="B78" s="4" t="s">
        <v>129</v>
      </c>
      <c r="C78" s="3" t="s">
        <v>1</v>
      </c>
      <c r="D78" s="5" t="s">
        <v>45</v>
      </c>
      <c r="E78" s="3">
        <f t="shared" si="1"/>
        <v>38</v>
      </c>
      <c r="L78" s="3">
        <v>1</v>
      </c>
    </row>
    <row r="79" spans="1:12" ht="17">
      <c r="A79" s="3">
        <v>77</v>
      </c>
      <c r="B79" s="4" t="s">
        <v>130</v>
      </c>
      <c r="C79" s="3" t="s">
        <v>2</v>
      </c>
      <c r="D79" s="5" t="s">
        <v>186</v>
      </c>
      <c r="E79" s="3">
        <f t="shared" si="1"/>
        <v>2</v>
      </c>
    </row>
    <row r="80" spans="1:12" ht="119">
      <c r="A80" s="3">
        <v>78</v>
      </c>
      <c r="B80" s="4" t="s">
        <v>132</v>
      </c>
      <c r="C80" s="3" t="s">
        <v>1</v>
      </c>
      <c r="D80" s="2" t="s">
        <v>187</v>
      </c>
      <c r="E80" s="3">
        <f t="shared" si="1"/>
        <v>33</v>
      </c>
    </row>
    <row r="81" spans="1:13" ht="17">
      <c r="A81" s="3">
        <v>79</v>
      </c>
      <c r="B81" s="4" t="s">
        <v>133</v>
      </c>
      <c r="C81" s="3" t="s">
        <v>2</v>
      </c>
      <c r="D81" s="5" t="s">
        <v>131</v>
      </c>
      <c r="E81" s="3">
        <f t="shared" si="1"/>
        <v>2</v>
      </c>
    </row>
    <row r="82" spans="1:13" ht="170">
      <c r="A82" s="3">
        <v>80</v>
      </c>
      <c r="B82" s="4" t="s">
        <v>136</v>
      </c>
      <c r="C82" s="3" t="s">
        <v>1</v>
      </c>
      <c r="D82" s="5" t="s">
        <v>188</v>
      </c>
      <c r="E82" s="3">
        <f t="shared" si="1"/>
        <v>43</v>
      </c>
    </row>
    <row r="83" spans="1:13" ht="17">
      <c r="A83" s="3">
        <v>81</v>
      </c>
      <c r="B83" s="4" t="s">
        <v>134</v>
      </c>
      <c r="C83" s="3" t="s">
        <v>2</v>
      </c>
      <c r="D83" s="5" t="s">
        <v>46</v>
      </c>
      <c r="E83" s="3">
        <f t="shared" si="1"/>
        <v>2</v>
      </c>
    </row>
    <row r="84" spans="1:13" ht="223" customHeight="1">
      <c r="A84" s="3">
        <v>82</v>
      </c>
      <c r="B84" s="4" t="s">
        <v>140</v>
      </c>
      <c r="C84" s="3" t="s">
        <v>162</v>
      </c>
      <c r="D84" s="5" t="s">
        <v>137</v>
      </c>
      <c r="E84" s="3">
        <f t="shared" si="1"/>
        <v>285</v>
      </c>
    </row>
    <row r="85" spans="1:13" ht="17">
      <c r="A85" s="3">
        <v>83</v>
      </c>
      <c r="B85" s="4" t="s">
        <v>135</v>
      </c>
      <c r="C85" s="3" t="s">
        <v>2</v>
      </c>
      <c r="D85" s="5" t="s">
        <v>47</v>
      </c>
      <c r="E85" s="3">
        <f t="shared" si="1"/>
        <v>1</v>
      </c>
    </row>
    <row r="87" spans="1:13">
      <c r="D87" s="7" t="s">
        <v>156</v>
      </c>
      <c r="E87" s="9">
        <f>SUM(E3:E85)</f>
        <v>3117</v>
      </c>
      <c r="F87" s="9">
        <f t="shared" ref="F87:M87" si="2">SUM(F3:F85)</f>
        <v>6</v>
      </c>
      <c r="G87" s="9">
        <f t="shared" si="2"/>
        <v>1</v>
      </c>
      <c r="H87" s="9">
        <f t="shared" si="2"/>
        <v>1</v>
      </c>
      <c r="I87" s="9">
        <f t="shared" si="2"/>
        <v>1</v>
      </c>
      <c r="J87" s="9">
        <f t="shared" si="2"/>
        <v>0</v>
      </c>
      <c r="K87" s="9">
        <f t="shared" si="2"/>
        <v>0</v>
      </c>
      <c r="L87" s="9">
        <f t="shared" si="2"/>
        <v>8</v>
      </c>
      <c r="M87" s="9">
        <f t="shared" si="2"/>
        <v>1</v>
      </c>
    </row>
    <row r="88" spans="1:13">
      <c r="D88" s="8" t="s">
        <v>157</v>
      </c>
      <c r="E88" s="9">
        <f>SUMIF(C3:C85, "Teacher", E3:E85)</f>
        <v>2804</v>
      </c>
    </row>
    <row r="89" spans="1:13">
      <c r="D89" s="8" t="s">
        <v>158</v>
      </c>
      <c r="E89" s="3">
        <f>E87-E88</f>
        <v>313</v>
      </c>
    </row>
    <row r="90" spans="1:13">
      <c r="D90" s="8" t="s">
        <v>159</v>
      </c>
      <c r="E90" s="3">
        <v>83</v>
      </c>
    </row>
    <row r="91" spans="1:13">
      <c r="D91" s="8" t="s">
        <v>160</v>
      </c>
      <c r="E91" s="9">
        <f>COUNTIF(C3:C85, "Teacher")</f>
        <v>41</v>
      </c>
    </row>
    <row r="92" spans="1:13">
      <c r="D92" s="8" t="s">
        <v>161</v>
      </c>
      <c r="E92" s="3">
        <f>E90-E91</f>
        <v>42</v>
      </c>
    </row>
  </sheetData>
  <mergeCells count="6">
    <mergeCell ref="D1:D2"/>
    <mergeCell ref="C1:C2"/>
    <mergeCell ref="B1:B2"/>
    <mergeCell ref="A1:A2"/>
    <mergeCell ref="F1:M1"/>
    <mergeCell ref="E1:E2"/>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u3634438@connect.hku.hk</dc:creator>
  <cp:lastModifiedBy>susan zhou</cp:lastModifiedBy>
  <dcterms:created xsi:type="dcterms:W3CDTF">2026-04-26T06:11:18Z</dcterms:created>
  <dcterms:modified xsi:type="dcterms:W3CDTF">2026-05-09T12:46:12Z</dcterms:modified>
</cp:coreProperties>
</file>