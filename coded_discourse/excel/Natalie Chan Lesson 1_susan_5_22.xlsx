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https://d.docs.live.net/529a137f6cc16f6a/课内相关/京师人/学业/各种项目/2026上半年陶瓷/ChenGaowei/5.20编码任务/"/>
    </mc:Choice>
  </mc:AlternateContent>
  <xr:revisionPtr revIDLastSave="10" documentId="8_{CD13BB8A-37BE-E244-91DC-FF1592C6C6F9}" xr6:coauthVersionLast="47" xr6:coauthVersionMax="47" xr10:uidLastSave="{2F38AFAB-753D-844F-AFCC-35D83A4261D1}"/>
  <bookViews>
    <workbookView xWindow="14800" yWindow="920" windowWidth="14440" windowHeight="16120" xr2:uid="{00000000-000D-0000-FFFF-FFFF00000000}"/>
  </bookViews>
  <sheets>
    <sheet name="SubtitleContentTmpl-727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8" i="1" l="1"/>
  <c r="G178" i="1"/>
  <c r="H178" i="1"/>
  <c r="I178" i="1"/>
  <c r="J178" i="1"/>
  <c r="K178" i="1"/>
  <c r="L178" i="1"/>
  <c r="M178" i="1"/>
  <c r="E183" i="1"/>
  <c r="E182"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3" i="1"/>
  <c r="E179" i="1" l="1"/>
  <c r="E178" i="1"/>
  <c r="E180" i="1" l="1"/>
</calcChain>
</file>

<file path=xl/sharedStrings.xml><?xml version="1.0" encoding="utf-8"?>
<sst xmlns="http://schemas.openxmlformats.org/spreadsheetml/2006/main" count="716" uniqueCount="548">
  <si>
    <t>1</t>
  </si>
  <si>
    <t>2</t>
  </si>
  <si>
    <t>3</t>
  </si>
  <si>
    <t>4</t>
  </si>
  <si>
    <t>5</t>
  </si>
  <si>
    <t>6</t>
  </si>
  <si>
    <t>7</t>
  </si>
  <si>
    <t>8</t>
  </si>
  <si>
    <t>9</t>
  </si>
  <si>
    <t>10</t>
  </si>
  <si>
    <t>11</t>
  </si>
  <si>
    <t>Student A</t>
  </si>
  <si>
    <t>12</t>
  </si>
  <si>
    <t>14</t>
  </si>
  <si>
    <t>15</t>
  </si>
  <si>
    <t>Student B</t>
  </si>
  <si>
    <t>16</t>
  </si>
  <si>
    <t>17</t>
  </si>
  <si>
    <t>18</t>
  </si>
  <si>
    <t>19</t>
  </si>
  <si>
    <t>20</t>
  </si>
  <si>
    <t>21</t>
  </si>
  <si>
    <t>22</t>
  </si>
  <si>
    <t>23</t>
  </si>
  <si>
    <t>24</t>
  </si>
  <si>
    <t>Student C</t>
  </si>
  <si>
    <t>25</t>
  </si>
  <si>
    <t>26</t>
  </si>
  <si>
    <t>Ss</t>
  </si>
  <si>
    <t>Yes.</t>
  </si>
  <si>
    <t>27</t>
  </si>
  <si>
    <t>All right, everyone, can you please temporarily close your iPads and stand up?</t>
  </si>
  <si>
    <t>(Incoherent)</t>
  </si>
  <si>
    <t>Good morning, my (incoherent).</t>
  </si>
  <si>
    <t>All right.</t>
  </si>
  <si>
    <t>Good. Let's get started. Okay, everyone, eyes on the board, please. What are we learning today?</t>
  </si>
  <si>
    <t>Simple future.</t>
  </si>
  <si>
    <t>Future tense, sounds easy, isn't it? You've learned it in primary school, yes.</t>
  </si>
  <si>
    <t>I will eat lunch.</t>
  </si>
  <si>
    <t>Okay, who can tell me how do we use future tense? What word do we add? Yes?</t>
  </si>
  <si>
    <t>Its like something that will happen in the future, and like some plans.</t>
  </si>
  <si>
    <t>Something we'll do in the future, some plans, or what we think we'll do in the future, right? What word do we add to a sentence to a future tense?</t>
  </si>
  <si>
    <t>Will.</t>
  </si>
  <si>
    <t>Anyone can shout it out.</t>
  </si>
  <si>
    <t>Teacher</t>
  </si>
  <si>
    <t>It's technically about, I don't know.</t>
  </si>
  <si>
    <t>Lionel</t>
  </si>
  <si>
    <t>Okay, I'm hearing the word plan, that's a good word. Any other ideas? Some people still have to their hand up, yeah?</t>
  </si>
  <si>
    <t>I think it's like going well, and it's like something about some possibilities and something that relates to something that will or will not happen, might not happen.</t>
  </si>
  <si>
    <t>(group work)</t>
  </si>
  <si>
    <t>SS</t>
  </si>
  <si>
    <t>Make sure you leave yourself just a bit of space to write down some later on.Find your own way. To draw a table.</t>
  </si>
  <si>
    <t>Is everyone ready? Can I continue? If not, you can copy me from my part, okay? Can we make guesses? Can we make guesses?</t>
  </si>
  <si>
    <t>I know,</t>
  </si>
  <si>
    <t>Any guesses?.</t>
  </si>
  <si>
    <t>Both is future.</t>
  </si>
  <si>
    <t>Okay, both is future. Thanks, Tobias.</t>
  </si>
  <si>
    <t>Tobias</t>
  </si>
  <si>
    <t>Yeah, I know.</t>
  </si>
  <si>
    <t>Anyone else, but the other ones? Adrian, thoughts. About certainty?</t>
  </si>
  <si>
    <t>One is more of a must .And the other one is...</t>
  </si>
  <si>
    <t>A must? Which one would be a must? Which one is more certain?</t>
  </si>
  <si>
    <t xml:space="preserve">Okay, who agrees with Adrian? If you raise your hand, can we make a guess? Is Will more certain than going to? Raise your hand if you agree. </t>
  </si>
  <si>
    <t>(Raised hands)</t>
  </si>
  <si>
    <t>Okay, we'll keep that guess in mind. Who can make a guess about promises?Becky, which one is more of a promise?</t>
  </si>
  <si>
    <t xml:space="preserve">Will </t>
  </si>
  <si>
    <t>Can I have a...Okay, Ethan, what do you think?</t>
  </si>
  <si>
    <t>Will</t>
  </si>
  <si>
    <t>Will is more of a recent decision.Who agrees with Ethan?</t>
  </si>
  <si>
    <t>Me. Will is more recent.</t>
  </si>
  <si>
    <t>Adrian</t>
  </si>
  <si>
    <t>Becky</t>
  </si>
  <si>
    <t>Ethan</t>
  </si>
  <si>
    <t>00:00-00:05</t>
  </si>
  <si>
    <t>00:05-00:23</t>
  </si>
  <si>
    <t>01:02-01:07</t>
  </si>
  <si>
    <t>00:23-01:02</t>
  </si>
  <si>
    <t>01:07-01:45</t>
  </si>
  <si>
    <t>01:45-01:48</t>
  </si>
  <si>
    <t>01:48-01:50</t>
  </si>
  <si>
    <t>01:50-01:53</t>
  </si>
  <si>
    <t>01:53-02:07</t>
  </si>
  <si>
    <t>02:07-02:09</t>
  </si>
  <si>
    <t>02:09-02:14</t>
  </si>
  <si>
    <t>02:14-02:15</t>
  </si>
  <si>
    <t>02:15-02:24</t>
  </si>
  <si>
    <t>02:24-02:33</t>
  </si>
  <si>
    <t>02:33-02:38</t>
  </si>
  <si>
    <t>02:38-02:41</t>
  </si>
  <si>
    <t>02:41-02:42</t>
  </si>
  <si>
    <t>02:44-03:23</t>
  </si>
  <si>
    <t>02:42-02:44</t>
  </si>
  <si>
    <t>03:27-03:51</t>
  </si>
  <si>
    <t>04:19-04:35</t>
  </si>
  <si>
    <t>04:35-05:12</t>
  </si>
  <si>
    <t>05:12-05:58</t>
  </si>
  <si>
    <t>03:51-04:11</t>
  </si>
  <si>
    <t>03:23-03:27</t>
  </si>
  <si>
    <t>04:11-04:19</t>
  </si>
  <si>
    <t>05:58-06:23</t>
  </si>
  <si>
    <t>06:23-06:53</t>
  </si>
  <si>
    <t>06:53-07:05</t>
  </si>
  <si>
    <t>07:05-07:06</t>
  </si>
  <si>
    <t>07:06-07:07</t>
  </si>
  <si>
    <t>07:07-07:09</t>
  </si>
  <si>
    <t>07:09-07:10</t>
  </si>
  <si>
    <t>07:10-07:13</t>
  </si>
  <si>
    <t>07:25-07:31</t>
  </si>
  <si>
    <t>07:13-07:25</t>
  </si>
  <si>
    <t>07:31-07:36</t>
  </si>
  <si>
    <t>07:36-07:37</t>
  </si>
  <si>
    <t>07:50-08:06</t>
  </si>
  <si>
    <t>08:06-08:07</t>
  </si>
  <si>
    <t>08:07-08:28</t>
  </si>
  <si>
    <t>07:45-07:50</t>
  </si>
  <si>
    <t>07:37-07:45</t>
  </si>
  <si>
    <t>08:28-08:31</t>
  </si>
  <si>
    <t>08:31-08:32</t>
  </si>
  <si>
    <t>08:32-08:34</t>
  </si>
  <si>
    <t>08:34-08:37</t>
  </si>
  <si>
    <t>08:37-08:39</t>
  </si>
  <si>
    <t>08:39-09:23</t>
  </si>
  <si>
    <t>09:23-09:24</t>
  </si>
  <si>
    <t>09:24-10:05</t>
  </si>
  <si>
    <t>10:24-10:26</t>
  </si>
  <si>
    <t>Plans.</t>
  </si>
  <si>
    <t>So very certain, 90%.If you can mark it down on your table as well. And plans. We can write... Okay, can you mark this down on your table, please? Duncan, are you okay?</t>
  </si>
  <si>
    <t>Yeah.</t>
  </si>
  <si>
    <t>Okay, any questions so far? For example, I, well, in April, in Easter, I bought tickets to a Japan trip. Would this be I will go to Japan or I...</t>
  </si>
  <si>
    <t>10:05-10:06</t>
  </si>
  <si>
    <t>10:06-10:24</t>
  </si>
  <si>
    <t>You will be going to Japan.</t>
  </si>
  <si>
    <t>I will.</t>
  </si>
  <si>
    <t>I will?</t>
  </si>
  <si>
    <t>I am.</t>
  </si>
  <si>
    <t>Why? Why I will?</t>
  </si>
  <si>
    <t>Because why not?</t>
  </si>
  <si>
    <t>Why I will.Okay, the answer is I am going to Japan. Why is that?</t>
  </si>
  <si>
    <t>Because you planned it.</t>
  </si>
  <si>
    <t>I will be going to Japan.Which one is it? Charlotte? You. Will I be going to Japan or I am going to Japan? I bought tickets for it.</t>
  </si>
  <si>
    <t>Charlotte</t>
  </si>
  <si>
    <t>Duncan</t>
  </si>
  <si>
    <t>10:26-10:32</t>
  </si>
  <si>
    <t>10:32-10:39</t>
  </si>
  <si>
    <t>10:39-10:40</t>
  </si>
  <si>
    <t>10:40-10:41</t>
  </si>
  <si>
    <t>10:41-10:47</t>
  </si>
  <si>
    <t>10:47-10:48</t>
  </si>
  <si>
    <t>10:48-10:55</t>
  </si>
  <si>
    <t>10:55-10:57</t>
  </si>
  <si>
    <t>10:57-11:16</t>
  </si>
  <si>
    <t>11:16-11:20</t>
  </si>
  <si>
    <t>13:25-13:28</t>
  </si>
  <si>
    <t>Why is she so happy?</t>
  </si>
  <si>
    <t>11:20-13:25</t>
  </si>
  <si>
    <t>13:28-13:30</t>
  </si>
  <si>
    <t>13:30-13:33</t>
  </si>
  <si>
    <t>13:33-13:44</t>
  </si>
  <si>
    <t>13:44-13:45</t>
  </si>
  <si>
    <t>13:45-13:52</t>
  </si>
  <si>
    <t>13:52-13:53</t>
  </si>
  <si>
    <t>13:53-13:59</t>
  </si>
  <si>
    <t>13:59-14:00</t>
  </si>
  <si>
    <t>Say it a little louder, please.</t>
  </si>
  <si>
    <t>You are going to talk in a chapel.</t>
  </si>
  <si>
    <t>Why is it? Why do you think it's I will, I am going to and not will.</t>
  </si>
  <si>
    <t>I think I know why.</t>
  </si>
  <si>
    <t>Well, there's a reason why. You can take a look at the table. Anyone help him out? Matt?</t>
  </si>
  <si>
    <t>I already planned it.</t>
  </si>
  <si>
    <t>Oscar</t>
  </si>
  <si>
    <t>Matt</t>
  </si>
  <si>
    <t>Student E</t>
  </si>
  <si>
    <t>14:00-14:10</t>
  </si>
  <si>
    <t>14:10-14:12</t>
  </si>
  <si>
    <t>14:12-14:14</t>
  </si>
  <si>
    <t>14:14-14:15</t>
  </si>
  <si>
    <t>14:15-14:19</t>
  </si>
  <si>
    <t>14:19-14:23</t>
  </si>
  <si>
    <t>14:23-14:33</t>
  </si>
  <si>
    <t>14:33-14:35</t>
  </si>
  <si>
    <t>14:35-14:39</t>
  </si>
  <si>
    <t>14:39-14:42</t>
  </si>
  <si>
    <t>14:42-14:46</t>
  </si>
  <si>
    <t>14:46-14:56</t>
  </si>
  <si>
    <t>14:56-15:15</t>
  </si>
  <si>
    <t>So I planned it. So yes, I am going to give a talk at the chapel on Tuesday.Okay, how about Wednesday? How about Wednesday? Who can give me Wednesday?</t>
  </si>
  <si>
    <t>I am going to lunch with Kate.</t>
  </si>
  <si>
    <t>Who can give me Wednesday?</t>
  </si>
  <si>
    <t>Is it decent?</t>
  </si>
  <si>
    <t>Okay, decent.</t>
  </si>
  <si>
    <t>What am I doing on Wednesday?</t>
  </si>
  <si>
    <t xml:space="preserve">I am going to eat lunch with Katie. </t>
  </si>
  <si>
    <t>At?</t>
  </si>
  <si>
    <t>Okay, at 12:30. Why is it I am going to but I'm not will?</t>
  </si>
  <si>
    <t>At 12:30</t>
  </si>
  <si>
    <t>Because you planned it, you planned it.Yeah, you already made a date.</t>
  </si>
  <si>
    <t>Yes, okay, good things from your friends. I am going to. How about Thursday? How about Thursday? Aiden</t>
  </si>
  <si>
    <t>Aiden</t>
  </si>
  <si>
    <t>How about Thursday, 9pm movie? Since you didn't say anything about anything like possibility, you can say, I am going to watch a movie at 9pm on Thursday.</t>
  </si>
  <si>
    <t>Yeah, very good.Especially because movie is what you need to buy a ticket, right? So probably I am going to. How about Friday, last one?</t>
  </si>
  <si>
    <t>Me.</t>
  </si>
  <si>
    <t>Oh, let's give it to Duncan.Yeah, you raised your hand. All right, Duncan. Duncan, Friday, please, one of the flags on Friday.</t>
  </si>
  <si>
    <t>Dinner with John.</t>
  </si>
  <si>
    <t xml:space="preserve">Dinner with John. Can you give me a full sentence, please? </t>
  </si>
  <si>
    <t>I will have dinner with John</t>
  </si>
  <si>
    <t>I will have dinner with John. Why?</t>
  </si>
  <si>
    <t xml:space="preserve">Okay, let's give him One more chance, what is it? </t>
  </si>
  <si>
    <t>I will have dinner with John if I finish...</t>
  </si>
  <si>
    <t>15:15-15:24</t>
  </si>
  <si>
    <t>15:24-15:26</t>
  </si>
  <si>
    <t>15:43-15:44</t>
  </si>
  <si>
    <t>15:44-14:47</t>
  </si>
  <si>
    <t>14:47-15:53</t>
  </si>
  <si>
    <t>15:53-16:06</t>
  </si>
  <si>
    <t>16:06-16:10</t>
  </si>
  <si>
    <t>15:26-15:42</t>
  </si>
  <si>
    <t>15:42-15:43</t>
  </si>
  <si>
    <t>Because it is entirely certain.</t>
  </si>
  <si>
    <t>Okay, Darren! Darren, since you looked around, why is it will?</t>
  </si>
  <si>
    <t>Because its closest to, Like now.</t>
  </si>
  <si>
    <t>16:10-16:15</t>
  </si>
  <si>
    <t>16:15-16:25</t>
  </si>
  <si>
    <t>16:25-16:26</t>
  </si>
  <si>
    <t>16:26-16:27</t>
  </si>
  <si>
    <t>16:27-16:41</t>
  </si>
  <si>
    <t>No, not at all. Not at all. Not at all. I will have to have John adventure for early on Friday. Why is it will not be going to?</t>
  </si>
  <si>
    <t>No.</t>
  </si>
  <si>
    <t>Darren</t>
  </si>
  <si>
    <t>Student D</t>
  </si>
  <si>
    <t>It's not.</t>
  </si>
  <si>
    <t>No, it's not. Its if.</t>
  </si>
  <si>
    <t>Because its if i leave early so it’s a possibility</t>
  </si>
  <si>
    <t>(turning the pages)</t>
  </si>
  <si>
    <t>Duncan, may you repeat the reason, please? Because what? Ethan, can you help?</t>
  </si>
  <si>
    <t>16:41-16:42</t>
  </si>
  <si>
    <t>16:42-16:43</t>
  </si>
  <si>
    <t>16:43-16:53</t>
  </si>
  <si>
    <t>16:53-16:58</t>
  </si>
  <si>
    <t>16:58-17:40</t>
  </si>
  <si>
    <t>17:40-18:00</t>
  </si>
  <si>
    <t>Okay, so before I describe, can I get you to just let those iPads closed? I will have the table up here, if you need it. And you also have your notes on your books, so please.</t>
  </si>
  <si>
    <t>I think it's Chinese.</t>
  </si>
  <si>
    <t>Wait, maybe the Chinese guy is racist, no?</t>
  </si>
  <si>
    <t>Maybe the Chinese guy is racist.</t>
  </si>
  <si>
    <t>Maybe the what?</t>
  </si>
  <si>
    <t>Boys, focus.Focus, boys.</t>
  </si>
  <si>
    <t>18:00-19:01</t>
  </si>
  <si>
    <t>19:01-19:08</t>
  </si>
  <si>
    <t>19:08:19:09</t>
  </si>
  <si>
    <t>19:26-19:29</t>
  </si>
  <si>
    <t>19:29-19:31</t>
  </si>
  <si>
    <t>19:31-19:34</t>
  </si>
  <si>
    <t>19:34-20:29</t>
  </si>
  <si>
    <t>20:29-20:32</t>
  </si>
  <si>
    <t>19:09-19:26</t>
  </si>
  <si>
    <t>20:32-22:37</t>
  </si>
  <si>
    <t>Guys, someone asked me where Harbin is. China. Yeah, this place in China is really cool and it's literally very cool because it's super cold in winter and they have this really nice ice sculpture. These are all made of ice.</t>
  </si>
  <si>
    <t>22:37-22:53</t>
  </si>
  <si>
    <t>22:53-22:56</t>
  </si>
  <si>
    <t>22:56-22:58</t>
  </si>
  <si>
    <t>How much was it?</t>
  </si>
  <si>
    <t>What do you think it's worth?</t>
  </si>
  <si>
    <t>23:09-23:11</t>
  </si>
  <si>
    <t>It was like 700. It's like super expensive. It's like so overpriced and overcrowded.</t>
  </si>
  <si>
    <t>22:58-23:09</t>
  </si>
  <si>
    <t>It's like, if it's hardly standard, it's like pretty expensive.</t>
  </si>
  <si>
    <t>Yeah, it's hardly standard.</t>
  </si>
  <si>
    <t>It's like pretty overpriced too.</t>
  </si>
  <si>
    <t>It's just a big theme park made of snow and ice.</t>
  </si>
  <si>
    <t>Yeah, it's a big theme park made of snow and ice.</t>
  </si>
  <si>
    <t>23:26-23:28</t>
  </si>
  <si>
    <t>23:11-23:15</t>
  </si>
  <si>
    <t>23:15-23:16</t>
  </si>
  <si>
    <t>23:16-23:22</t>
  </si>
  <si>
    <t>23:22-23:26</t>
  </si>
  <si>
    <t>You can slide down and slide and stuff.</t>
  </si>
  <si>
    <t>Wait, can you ride it?</t>
  </si>
  <si>
    <t>Wait, so the roller coaster's made of ice and snow.</t>
  </si>
  <si>
    <t>All right, all right, all right. Come on, two more minutes.OK, and then we can take a look at the answers.</t>
  </si>
  <si>
    <t>23:35-23:41</t>
  </si>
  <si>
    <t>23:28-23:31</t>
  </si>
  <si>
    <t>23:31-23:32</t>
  </si>
  <si>
    <t>23:32:23:35</t>
  </si>
  <si>
    <t>23:41-28:29</t>
  </si>
  <si>
    <t>28:29-28:30</t>
  </si>
  <si>
    <t>Alright most of us are done, so maybe 30 seconds.</t>
  </si>
  <si>
    <t>28:30-30:00</t>
  </si>
  <si>
    <t>30:00-30:15</t>
  </si>
  <si>
    <t>Okay, swap, please.Swap, swap, swap.</t>
  </si>
  <si>
    <t>30:30-30:32</t>
  </si>
  <si>
    <t>30:15-30:30</t>
  </si>
  <si>
    <t>30:32-30:46</t>
  </si>
  <si>
    <t>OK, let's take a look at some answers. Have you swapped? All right, Lionel, can you give me number one?</t>
  </si>
  <si>
    <t>30:46-30:58</t>
  </si>
  <si>
    <t>Number 1. My family and I are going to spend...</t>
  </si>
  <si>
    <t>Yeah, you’re right going to spend.</t>
  </si>
  <si>
    <t>Are going to spend an evening together.</t>
  </si>
  <si>
    <t xml:space="preserve">Okay, Eddie, number 2 please. </t>
  </si>
  <si>
    <t>Are going to attend a church service.</t>
  </si>
  <si>
    <t>OK, are going to attend! It's quite certain, and this is also a plan. Okay, so it's going to attend.</t>
  </si>
  <si>
    <t>Number three, please.</t>
  </si>
  <si>
    <t>Eddie</t>
  </si>
  <si>
    <t>30:58-31:04</t>
  </si>
  <si>
    <t>31:04-31:05</t>
  </si>
  <si>
    <t>31:05-31:09</t>
  </si>
  <si>
    <t>31:09-31:12</t>
  </si>
  <si>
    <t>31:17-31:25</t>
  </si>
  <si>
    <t>31:25-31:31</t>
  </si>
  <si>
    <t>31:31-31:35</t>
  </si>
  <si>
    <t>31:12-31:17</t>
  </si>
  <si>
    <t>We are going to decorate. Still a plan Okay? And then everyone, Vicki. Number 4.</t>
  </si>
  <si>
    <t>We will decorate our church with plastic of fruit, vegetables, and flowers.</t>
  </si>
  <si>
    <t>Vicki</t>
  </si>
  <si>
    <t>31:35-31:40</t>
  </si>
  <si>
    <t>31:40-31:51</t>
  </si>
  <si>
    <t>31:51-31:59</t>
  </si>
  <si>
    <t>Is going to.</t>
  </si>
  <si>
    <t>Good, is going to sing. Number 5, Elizabeth.</t>
  </si>
  <si>
    <t>31:59-32:05</t>
  </si>
  <si>
    <t>Are other forum members going to do anything similar</t>
  </si>
  <si>
    <t>32:05-32:17</t>
  </si>
  <si>
    <t>Elizabeth</t>
  </si>
  <si>
    <t>32:17-32:37</t>
  </si>
  <si>
    <t>32:37-32:44</t>
  </si>
  <si>
    <t>Jason</t>
  </si>
  <si>
    <t>I'm going to make good. Okay, number eight.</t>
  </si>
  <si>
    <t>Oh, I am not. I am going to make an ice sculpture.</t>
  </si>
  <si>
    <t>32:44-32:47</t>
  </si>
  <si>
    <t>Is going to be.</t>
  </si>
  <si>
    <t>It's going to be. I cannot wait. All right, Charlotte, you. Your turn, number 9.</t>
  </si>
  <si>
    <t>32:55-33:07</t>
  </si>
  <si>
    <t>32:47-32:55</t>
  </si>
  <si>
    <t>Give it a try, Charlotte. Lydia help her out?</t>
  </si>
  <si>
    <t>Lydia</t>
  </si>
  <si>
    <t>(incoherent)</t>
  </si>
  <si>
    <t>33:14-33:27</t>
  </si>
  <si>
    <t>33:33-33:44</t>
  </si>
  <si>
    <t>I am not. Future tense. Unfortunately, I'm not going to travel this winter. The winter is in the future right? Future tense. All right, one more person. Hillary!, do 10!</t>
  </si>
  <si>
    <t>Going to decide.</t>
  </si>
  <si>
    <t>33:56-34:25</t>
  </si>
  <si>
    <t>34:25-34:30</t>
  </si>
  <si>
    <t>34:30-34:38</t>
  </si>
  <si>
    <t>OK, what about promises?</t>
  </si>
  <si>
    <t>No, if it's a promise, then it’s with. OK, if it's not a promise, then you think about it. Any questions about this grammar item?</t>
  </si>
  <si>
    <t>It'll be in your exams. All right, for homework, I want you guys to do a Aristo Unit 5 in 13 of Unit 5. Someone's very excited for homework, isn't it? So Unit 5 is this book, everyone. Any questions? Jason, Oscar. Can I see the homework on Monday?</t>
  </si>
  <si>
    <t>OK.</t>
  </si>
  <si>
    <t>Oh, of course.</t>
  </si>
  <si>
    <t>All right, very good. Final questions. Can you please stand up? All right, bye everyone.</t>
  </si>
  <si>
    <t>Goodbye and thank you, my (incoherent).</t>
  </si>
  <si>
    <t>34:38-34:39</t>
  </si>
  <si>
    <t>34:39-35:02</t>
  </si>
  <si>
    <t>35:02-35:03</t>
  </si>
  <si>
    <t>35:08-35:09</t>
  </si>
  <si>
    <t>35:09-35:10</t>
  </si>
  <si>
    <t>35:03-25:04</t>
  </si>
  <si>
    <t>35:04-35:08</t>
  </si>
  <si>
    <t>35:10-35:34</t>
  </si>
  <si>
    <t>35:24-35:57</t>
  </si>
  <si>
    <t>Hillary</t>
  </si>
  <si>
    <t>Darren, can I see you and Hillary marking down?</t>
  </si>
  <si>
    <t>33:44-33:56</t>
  </si>
  <si>
    <t>33:27-33:33</t>
  </si>
  <si>
    <t>33:07-33:14</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</si>
  <si>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</si>
  <si>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</si>
  <si>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</si>
  <si>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</si>
  <si>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</si>
  <si>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</si>
  <si>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</si>
  <si>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</si>
  <si>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</si>
  <si>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</si>
  <si>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</si>
  <si>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</si>
  <si>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</si>
  <si>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</si>
  <si>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</si>
  <si>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</si>
  <si>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</si>
  <si>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</si>
  <si>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</si>
  <si>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</si>
  <si>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</si>
  <si>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</si>
  <si>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</si>
  <si>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</si>
  <si>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</si>
  <si>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</si>
  <si>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</si>
  <si>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</si>
  <si>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</si>
  <si>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</si>
  <si>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</si>
  <si>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</si>
  <si>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</si>
  <si>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</si>
  <si>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</si>
  <si>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</si>
  <si>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</si>
  <si>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</si>
  <si>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</si>
  <si>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</si>
  <si>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</si>
  <si>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</si>
  <si>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</si>
  <si>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</si>
  <si>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</si>
  <si>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</si>
  <si>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</si>
  <si>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</si>
  <si>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</si>
  <si>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</si>
  <si>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</si>
  <si>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</si>
  <si>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</si>
  <si>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</si>
  <si>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</si>
  <si>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</si>
  <si>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</si>
  <si>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</si>
  <si>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</si>
  <si>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</si>
  <si>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</si>
  <si>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</si>
  <si>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</si>
  <si>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</si>
  <si>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</si>
  <si>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</si>
  <si>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</si>
  <si>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</si>
  <si>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</si>
  <si>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</si>
  <si>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</si>
  <si>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</si>
  <si>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</si>
  <si>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</si>
  <si>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</si>
  <si>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</si>
  <si>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</si>
  <si>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</si>
  <si>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</si>
  <si>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</si>
  <si>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</si>
  <si>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</si>
  <si>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</si>
  <si>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</si>
  <si>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</si>
  <si>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</si>
  <si>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</si>
  <si>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</si>
  <si>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</si>
  <si>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</si>
  <si>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</si>
  <si>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</si>
  <si>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</si>
  <si>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</si>
  <si>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</si>
  <si>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</si>
  <si>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</si>
  <si>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</si>
  <si>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</si>
  <si>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</si>
  <si>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</si>
  <si>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</si>
  <si>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</si>
  <si>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</si>
  <si>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</si>
  <si>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</si>
  <si>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</si>
  <si>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</si>
  <si>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</si>
  <si>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</si>
  <si>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</si>
  <si>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</si>
  <si>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</si>
  <si>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</si>
  <si>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</si>
  <si>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</si>
  <si>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</si>
  <si>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</si>
  <si>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</si>
  <si>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</si>
  <si>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</si>
  <si>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150</t>
  </si>
  <si>
    <t>151</t>
  </si>
  <si>
    <t>152</t>
  </si>
  <si>
    <t>149</t>
  </si>
  <si>
    <t>153</t>
  </si>
  <si>
    <t>154</t>
  </si>
  <si>
    <t>155</t>
  </si>
  <si>
    <t>156</t>
  </si>
  <si>
    <t>157</t>
  </si>
  <si>
    <t>158</t>
  </si>
  <si>
    <t>159</t>
  </si>
  <si>
    <t>160</t>
  </si>
  <si>
    <t>161</t>
  </si>
  <si>
    <t>162</t>
  </si>
  <si>
    <t>163</t>
  </si>
  <si>
    <t>164</t>
  </si>
  <si>
    <t>165</t>
  </si>
  <si>
    <t>166</t>
  </si>
  <si>
    <t>167</t>
  </si>
  <si>
    <t>168</t>
  </si>
  <si>
    <t>169</t>
  </si>
  <si>
    <t>170</t>
  </si>
  <si>
    <t>171</t>
  </si>
  <si>
    <t>172</t>
  </si>
  <si>
    <t>173</t>
  </si>
  <si>
    <t>174</t>
  </si>
  <si>
    <t>word</t>
    <phoneticPr fontId="2" type="noConversion"/>
  </si>
  <si>
    <t>APT moves</t>
    <phoneticPr fontId="2" type="noConversion"/>
  </si>
  <si>
    <t>Say more</t>
    <phoneticPr fontId="4" type="noConversion"/>
  </si>
  <si>
    <t>Revoice</t>
    <phoneticPr fontId="4" type="noConversion"/>
  </si>
  <si>
    <t>Press for reasoning</t>
    <phoneticPr fontId="4" type="noConversion"/>
  </si>
  <si>
    <t>Challenge</t>
    <phoneticPr fontId="4" type="noConversion"/>
  </si>
  <si>
    <t>Restate</t>
    <phoneticPr fontId="4" type="noConversion"/>
  </si>
  <si>
    <t>Agree/Disagree</t>
    <phoneticPr fontId="4" type="noConversion"/>
  </si>
  <si>
    <t>Add on</t>
    <phoneticPr fontId="4" type="noConversion"/>
  </si>
  <si>
    <t>Explain others</t>
    <phoneticPr fontId="4" type="noConversion"/>
  </si>
  <si>
    <t>Number</t>
    <phoneticPr fontId="2" type="noConversion"/>
  </si>
  <si>
    <t>Timestamp</t>
    <phoneticPr fontId="2" type="noConversion"/>
  </si>
  <si>
    <t>Speaker</t>
    <phoneticPr fontId="2" type="noConversion"/>
  </si>
  <si>
    <t>Utterance</t>
    <phoneticPr fontId="2" type="noConversion"/>
  </si>
  <si>
    <t>sum</t>
  </si>
  <si>
    <t>Teachers' total words</t>
  </si>
  <si>
    <t>Students' total words</t>
  </si>
  <si>
    <t>Total turns</t>
  </si>
  <si>
    <t>No. of teachers' turn</t>
  </si>
  <si>
    <t>No. of students' turn</t>
  </si>
  <si>
    <t>Okay Okay, all right, so today, as I mentioned, we'll be looking at a grammar item, which will include you using your iPad and your book. Okay, but you'll be using your iPads first. And then after that, I'm showing you some time, so hopefully we'll get to the last presentation, because I don't want to drag it on to next week, okay? So that will be the last thing. Exciting, right?All right, any questions? Now let's go back for the weekend, and I'll get to that later. All right, so good morning, everyone.</t>
    <phoneticPr fontId="2" type="noConversion"/>
  </si>
  <si>
    <t>Okay, can you please open up your iPad? And find this page in grammar. Grammar, future tense, please. We'll be taking some notes today. Grammar, future tense. Can you check that your friend is on the right page? Your friend on the right page. Future tense. Okay? I see someone on the right page. Are you sure?</t>
    <phoneticPr fontId="2" type="noConversion"/>
  </si>
  <si>
    <t>Will. Will, will, will, exactly, will, okay? So this is our form, you can see in your notes as well. You add the word will and keep the infinitive verb, okay? You should know this from primary school, and if you want to negate it, turn it into a negative, You just add will not. It's very easy, right? Now, in primary school, you've learnt that will means future tense. But, okay, I will study for two hours tomorrow, but have you considered be going to? I am going to study for two hours tomorrow. Is this also future tense or not?</t>
    <phoneticPr fontId="2" type="noConversion"/>
  </si>
  <si>
    <t>Is this future tense? Raise your hand if it is. Okay, now keep your hand up if you know what the difference is between these two. Besides obviously the words, but what is the difference in purpose? Do we know? Lionel?</t>
    <phoneticPr fontId="2" type="noConversion"/>
  </si>
  <si>
    <t>I'm going to a more short and more concrete, like we've already planned everything else. But will is just like a vague saying. I'm going to, it's like you've already found out when you're gonna start studying and when you're gonna stop, but as well study is like, it's more flexible.</t>
    <phoneticPr fontId="2" type="noConversion"/>
  </si>
  <si>
    <t>虽然前后是一个人，但文具明显是想要找其他同学回答，不是让Lionel说下去</t>
    <phoneticPr fontId="2" type="noConversion"/>
  </si>
  <si>
    <t>Okay, so we're thinking of possibility and certainty, also a very good term. So that's what we're learning today. What is the difference, okay? I'm going to study for two hours and I'm not going to study anymore.Okay, I want you guys to, in your iPads, write, draw this table out, okay? Future, certainty, hope and promise, decision, and then will and be going to.Can you use one minute to draw this out, please? Anywhere on your iPad page.</t>
    <phoneticPr fontId="2" type="noConversion"/>
  </si>
  <si>
    <t>Who agrees with Becky, can you raise your hand if you think Will is more of a promise than be going to? Yeah. Okay, half of you. Let's keep that in mind. And decision, I'm thinking of...more of a recent decision and more of a long-term decision.Which one do you think is more recent?</t>
    <phoneticPr fontId="2" type="noConversion"/>
  </si>
  <si>
    <t>Okay, I'll round half of you.Can you keep that in mind?So let's take a look at the rules, okay?Let's take a look at be going to first.Okay, there are two uses for be going to. Obviously, it's future tense, but how. I am going to a tutorial center two hours tomorrow.This is a plan.And we used to be going to talk about plans. I go every Wednesday. So that's a plan. the second use is when you're very certain. Ah, so some of you are correct. Very certain, about 90% certain because there's a Thai food today, for example, so it's going to rain tomorrow. I'm pretty certain it's going to rain. That's how you use it.So how can we mark it down?</t>
    <phoneticPr fontId="2" type="noConversion"/>
  </si>
  <si>
    <t>Because I planned it, I bought tickets for it. Right, Charlotte? Understand? Okay, cool. Let's keep up. Okay, will. Three uses of will. First of all, is that it's a new decision. Okay? I just discovered that I failed an exam, so I will spend more time studying.</t>
    <phoneticPr fontId="2" type="noConversion"/>
  </si>
  <si>
    <t>Promise, I will study for two hours from now on. Promise myself so that I can get good grades in the upcoming winter. And the last use is certainty. So we're looking at the rain example again. So it was raining today. I think it will rain tomorrow. But I'm not sure because I'm only facing it on it was raining today rather than the time. So we can translate this into this. Future tense, let's say less than 50% and I promise now. Any questions so far? Can you write this down into your table? This will be in your exams in your final exam, so do make sure you take some notes and understand. Okay? Any questions? Any questions? Any questions? Okay, if not, I have a little test for you. Alright, here is my schedule, imaginary schedule for the upcoming week. I’m gonna talk in a Chapel on Tuesday, and then 12:30 lunch with Kate, talk 9pm movie, and then 6:30 dinner with John and I finish work early and up on Friday. So, my question for you is, what am I doing on Tuesday? What am I doing on Tuesday, Oscar? Can you form a sentence with will or be going to?</t>
    <phoneticPr fontId="2" type="noConversion"/>
  </si>
  <si>
    <t>I already planned it. Ineed to make plans for the chapel. I don't just waltz in and give a speech, right? Oscar?</t>
    <phoneticPr fontId="2" type="noConversion"/>
  </si>
  <si>
    <t>Okay, so it's a possibility. Okay, Duncan? Darren? Yes? So it is a smaller possibility, not totally sure if I'll finish work early. And it's more of a, it's not much of a plan, it's more of a, I hope I can make it, you know. So, yeah, I will have dinner, okay? You understand? All right, so now it is your turn to give it a try. Why don't you go to Oxford English and page 17. On page 17, you will get to see some exercises for you to give it a try, because it seems some people... Page 17, please.</t>
    <phoneticPr fontId="2" type="noConversion"/>
  </si>
  <si>
    <t>This is not stereotypical.</t>
    <phoneticPr fontId="2" type="noConversion"/>
  </si>
  <si>
    <t>Yeah, it's overpriced.</t>
    <phoneticPr fontId="2" type="noConversion"/>
  </si>
  <si>
    <t>Okay, let's take a look at some answers. Can you close your iPads, please? Put them flat on your desk. And may you please, as usual, give your textbook to the person next to you. You guys can do like your rotation.</t>
    <phoneticPr fontId="2" type="noConversion"/>
  </si>
  <si>
    <t>Yep, are other forum members going to do anything similar? So why are all of these going to, going to, be going to, what? Yes, it's a plan, okay? They’re all plans. Okay, continuing number six. Sophie, Sophie's not here. Jason! number six.</t>
    <phoneticPr fontId="2" type="noConversion"/>
  </si>
  <si>
    <t>Is your team going to choose, right? And then I'm going to just give you the rest. They’re not going to decide. It’s going to visit and are going to arrive. Okay. So it's always the difference between certainty Decision and whether it is a hold for a promise or not.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</si>
</sst>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indexed="8"/>
      <name val="等线"/>
      <family val="2"/>
      <scheme val="minor"/>
    </font>
    <font>
      <sz val="12"/>
      <color indexed="8"/>
      <name val="Times New Roman"/>
      <family val="1"/>
    </font>
    <font>
      <sz val="9"/>
      <name val="等线"/>
      <family val="3"/>
      <charset val="134"/>
      <scheme val="minor"/>
    </font>
    <font>
      <b/>
      <sz val="12"/>
      <color indexed="8"/>
      <name val="Calibri"/>
      <family val="2"/>
    </font>
    <font>
      <sz val="9"/>
      <name val="FangSong"/>
      <family val="3"/>
      <charset val="134"/>
    </font>
    <font>
      <sz val="12"/>
      <color rgb="FF000000"/>
      <name val="Helvetica"/>
      <family val="2"/>
    </font>
    <font>
      <sz val="11"/>
      <color rgb="FF000000"/>
      <name val="Helvetica"/>
      <family val="2"/>
    </font>
    <font>
      <sz val="12"/>
      <color rgb="FF000000"/>
      <name val="SimSun"/>
      <family val="1"/>
      <charset val="134"/>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1" fillId="0" borderId="0" xfId="0" applyFont="1"/>
    <xf numFmtId="20" fontId="1" fillId="0" borderId="0" xfId="0" applyNumberFormat="1" applyFont="1"/>
    <xf numFmtId="49" fontId="1" fillId="0" borderId="0" xfId="0" applyNumberFormat="1" applyFont="1"/>
    <xf numFmtId="0" fontId="3" fillId="0" borderId="0" xfId="0" applyFont="1" applyAlignment="1">
      <alignment horizontal="center" vertical="center"/>
    </xf>
    <xf numFmtId="0" fontId="3" fillId="0" borderId="0" xfId="0" applyFont="1" applyAlignment="1">
      <alignment horizontal="center" vertical="center"/>
    </xf>
    <xf numFmtId="0" fontId="5" fillId="0" borderId="0" xfId="0" applyFont="1"/>
    <xf numFmtId="0" fontId="6" fillId="0" borderId="0" xfId="0" applyFont="1"/>
    <xf numFmtId="0" fontId="7"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3"/>
  <sheetViews>
    <sheetView tabSelected="1" topLeftCell="E1" zoomScale="125" zoomScaleNormal="204" workbookViewId="0">
      <pane ySplit="2" topLeftCell="A163" activePane="bottomLeft" state="frozen"/>
      <selection activeCell="E1" sqref="E1"/>
      <selection pane="bottomLeft" activeCell="J172" sqref="J172"/>
    </sheetView>
  </sheetViews>
  <sheetFormatPr baseColWidth="10" defaultColWidth="9.1640625" defaultRowHeight="16"/>
  <cols>
    <col min="1" max="1" width="9.1640625" style="4"/>
    <col min="2" max="2" width="12.1640625" style="2" customWidth="1"/>
    <col min="3" max="16384" width="9.1640625" style="2"/>
  </cols>
  <sheetData>
    <row r="1" spans="1:13">
      <c r="A1" s="5" t="s">
        <v>520</v>
      </c>
      <c r="B1" s="5" t="s">
        <v>521</v>
      </c>
      <c r="C1" s="5" t="s">
        <v>522</v>
      </c>
      <c r="D1" s="5" t="s">
        <v>523</v>
      </c>
      <c r="E1" s="5" t="s">
        <v>510</v>
      </c>
      <c r="F1" s="5" t="s">
        <v>511</v>
      </c>
      <c r="G1" s="5"/>
      <c r="H1" s="5"/>
      <c r="I1" s="5"/>
      <c r="J1" s="5"/>
      <c r="K1" s="5"/>
      <c r="L1" s="5"/>
      <c r="M1" s="5"/>
    </row>
    <row r="2" spans="1:13">
      <c r="A2" s="5"/>
      <c r="B2" s="5"/>
      <c r="C2" s="5"/>
      <c r="D2" s="5"/>
      <c r="E2" s="5"/>
      <c r="F2" s="6" t="s">
        <v>512</v>
      </c>
      <c r="G2" s="6" t="s">
        <v>513</v>
      </c>
      <c r="H2" s="6" t="s">
        <v>514</v>
      </c>
      <c r="I2" s="6" t="s">
        <v>515</v>
      </c>
      <c r="J2" s="6" t="s">
        <v>516</v>
      </c>
      <c r="K2" s="6" t="s">
        <v>517</v>
      </c>
      <c r="L2" s="6" t="s">
        <v>518</v>
      </c>
      <c r="M2" s="6" t="s">
        <v>519</v>
      </c>
    </row>
    <row r="3" spans="1:13">
      <c r="A3" s="4" t="s">
        <v>0</v>
      </c>
      <c r="B3" s="2" t="s">
        <v>73</v>
      </c>
      <c r="C3" s="2" t="s">
        <v>44</v>
      </c>
      <c r="D3" s="2" t="s">
        <v>31</v>
      </c>
      <c r="E3" s="2">
        <f>LEN(D3)-LEN(SUBSTITUTE(D3," ",""))+1</f>
        <v>13</v>
      </c>
    </row>
    <row r="4" spans="1:13">
      <c r="A4" s="4" t="s">
        <v>1</v>
      </c>
      <c r="B4" s="2" t="s">
        <v>74</v>
      </c>
      <c r="C4" s="2" t="s">
        <v>28</v>
      </c>
      <c r="D4" s="2" t="s">
        <v>32</v>
      </c>
      <c r="E4" s="2">
        <f t="shared" ref="E4:E67" si="0">LEN(D4)-LEN(SUBSTITUTE(D4," ",""))+1</f>
        <v>1</v>
      </c>
    </row>
    <row r="5" spans="1:13">
      <c r="A5" s="4" t="s">
        <v>2</v>
      </c>
      <c r="B5" s="2" t="s">
        <v>76</v>
      </c>
      <c r="C5" s="2" t="s">
        <v>44</v>
      </c>
      <c r="D5" s="2" t="s">
        <v>530</v>
      </c>
      <c r="E5" s="2">
        <f t="shared" si="0"/>
        <v>94</v>
      </c>
    </row>
    <row r="6" spans="1:13">
      <c r="A6" s="4" t="s">
        <v>3</v>
      </c>
      <c r="B6" s="2" t="s">
        <v>75</v>
      </c>
      <c r="C6" s="2" t="s">
        <v>28</v>
      </c>
      <c r="D6" s="2" t="s">
        <v>33</v>
      </c>
      <c r="E6" s="2">
        <f t="shared" si="0"/>
        <v>4</v>
      </c>
    </row>
    <row r="7" spans="1:13">
      <c r="A7" s="4" t="s">
        <v>4</v>
      </c>
      <c r="B7" s="2" t="s">
        <v>77</v>
      </c>
      <c r="C7" s="2" t="s">
        <v>44</v>
      </c>
      <c r="D7" s="2" t="s">
        <v>531</v>
      </c>
      <c r="E7" s="2">
        <f t="shared" si="0"/>
        <v>57</v>
      </c>
    </row>
    <row r="8" spans="1:13">
      <c r="A8" s="4" t="s">
        <v>5</v>
      </c>
      <c r="B8" s="2" t="s">
        <v>78</v>
      </c>
      <c r="C8" s="2" t="s">
        <v>28</v>
      </c>
      <c r="D8" s="2" t="s">
        <v>29</v>
      </c>
      <c r="E8" s="2">
        <f t="shared" si="0"/>
        <v>1</v>
      </c>
    </row>
    <row r="9" spans="1:13">
      <c r="A9" s="4" t="s">
        <v>6</v>
      </c>
      <c r="B9" s="2" t="s">
        <v>79</v>
      </c>
      <c r="C9" s="2" t="s">
        <v>44</v>
      </c>
      <c r="D9" s="2" t="s">
        <v>34</v>
      </c>
      <c r="E9" s="2">
        <f t="shared" si="0"/>
        <v>2</v>
      </c>
    </row>
    <row r="10" spans="1:13">
      <c r="A10" s="4" t="s">
        <v>7</v>
      </c>
      <c r="B10" s="2" t="s">
        <v>80</v>
      </c>
      <c r="C10" s="2" t="s">
        <v>28</v>
      </c>
      <c r="D10" s="1" t="s">
        <v>32</v>
      </c>
      <c r="E10" s="2">
        <f t="shared" si="0"/>
        <v>1</v>
      </c>
    </row>
    <row r="11" spans="1:13">
      <c r="A11" s="4" t="s">
        <v>8</v>
      </c>
      <c r="B11" s="2" t="s">
        <v>81</v>
      </c>
      <c r="C11" s="2" t="s">
        <v>44</v>
      </c>
      <c r="D11" s="1" t="s">
        <v>35</v>
      </c>
      <c r="E11" s="2">
        <f t="shared" si="0"/>
        <v>16</v>
      </c>
    </row>
    <row r="12" spans="1:13">
      <c r="A12" s="4" t="s">
        <v>9</v>
      </c>
      <c r="B12" s="2" t="s">
        <v>82</v>
      </c>
      <c r="C12" s="2" t="s">
        <v>11</v>
      </c>
      <c r="D12" s="1" t="s">
        <v>36</v>
      </c>
      <c r="E12" s="2">
        <f t="shared" si="0"/>
        <v>2</v>
      </c>
    </row>
    <row r="13" spans="1:13">
      <c r="A13" s="4" t="s">
        <v>10</v>
      </c>
      <c r="B13" s="2" t="s">
        <v>83</v>
      </c>
      <c r="C13" s="2" t="s">
        <v>44</v>
      </c>
      <c r="D13" s="1" t="s">
        <v>37</v>
      </c>
      <c r="E13" s="2">
        <f t="shared" si="0"/>
        <v>13</v>
      </c>
    </row>
    <row r="14" spans="1:13">
      <c r="A14" s="4" t="s">
        <v>12</v>
      </c>
      <c r="B14" s="2" t="s">
        <v>84</v>
      </c>
      <c r="C14" s="2" t="s">
        <v>15</v>
      </c>
      <c r="D14" s="1" t="s">
        <v>38</v>
      </c>
      <c r="E14" s="2">
        <f t="shared" si="0"/>
        <v>4</v>
      </c>
    </row>
    <row r="15" spans="1:13">
      <c r="A15" s="4">
        <v>13</v>
      </c>
      <c r="B15" s="2" t="s">
        <v>85</v>
      </c>
      <c r="C15" s="2" t="s">
        <v>44</v>
      </c>
      <c r="D15" s="1" t="s">
        <v>39</v>
      </c>
      <c r="E15" s="2">
        <f t="shared" si="0"/>
        <v>17</v>
      </c>
    </row>
    <row r="16" spans="1:13">
      <c r="A16" s="4" t="s">
        <v>13</v>
      </c>
      <c r="B16" s="2" t="s">
        <v>86</v>
      </c>
      <c r="C16" s="2" t="s">
        <v>15</v>
      </c>
      <c r="D16" s="1" t="s">
        <v>40</v>
      </c>
      <c r="E16" s="2">
        <f t="shared" si="0"/>
        <v>13</v>
      </c>
    </row>
    <row r="17" spans="1:14">
      <c r="A17" s="4" t="s">
        <v>14</v>
      </c>
      <c r="B17" s="2" t="s">
        <v>87</v>
      </c>
      <c r="C17" s="2" t="s">
        <v>44</v>
      </c>
      <c r="D17" s="1" t="s">
        <v>41</v>
      </c>
      <c r="E17" s="2">
        <f t="shared" si="0"/>
        <v>30</v>
      </c>
    </row>
    <row r="18" spans="1:14">
      <c r="A18" s="4" t="s">
        <v>16</v>
      </c>
      <c r="B18" s="2" t="s">
        <v>88</v>
      </c>
      <c r="C18" s="2" t="s">
        <v>28</v>
      </c>
      <c r="D18" s="1" t="s">
        <v>42</v>
      </c>
      <c r="E18" s="2">
        <f t="shared" si="0"/>
        <v>1</v>
      </c>
    </row>
    <row r="19" spans="1:14">
      <c r="A19" s="4" t="s">
        <v>17</v>
      </c>
      <c r="B19" s="2" t="s">
        <v>89</v>
      </c>
      <c r="C19" s="2" t="s">
        <v>44</v>
      </c>
      <c r="D19" s="1" t="s">
        <v>43</v>
      </c>
      <c r="E19" s="2">
        <f t="shared" si="0"/>
        <v>5</v>
      </c>
    </row>
    <row r="20" spans="1:14">
      <c r="A20" s="4" t="s">
        <v>18</v>
      </c>
      <c r="B20" s="2" t="s">
        <v>91</v>
      </c>
      <c r="C20" s="2" t="s">
        <v>28</v>
      </c>
      <c r="D20" s="1" t="s">
        <v>42</v>
      </c>
      <c r="E20" s="2">
        <f t="shared" si="0"/>
        <v>1</v>
      </c>
    </row>
    <row r="21" spans="1:14">
      <c r="A21" s="4" t="s">
        <v>19</v>
      </c>
      <c r="B21" s="2" t="s">
        <v>90</v>
      </c>
      <c r="C21" s="2" t="s">
        <v>44</v>
      </c>
      <c r="D21" s="1" t="s">
        <v>532</v>
      </c>
      <c r="E21" s="2">
        <f t="shared" si="0"/>
        <v>102</v>
      </c>
    </row>
    <row r="22" spans="1:14">
      <c r="A22" s="4" t="s">
        <v>20</v>
      </c>
      <c r="B22" s="2" t="s">
        <v>97</v>
      </c>
      <c r="C22" s="2" t="s">
        <v>11</v>
      </c>
      <c r="D22" s="1" t="s">
        <v>45</v>
      </c>
      <c r="E22" s="2">
        <f t="shared" si="0"/>
        <v>6</v>
      </c>
    </row>
    <row r="23" spans="1:14">
      <c r="A23" s="4" t="s">
        <v>21</v>
      </c>
      <c r="B23" s="2" t="s">
        <v>92</v>
      </c>
      <c r="C23" s="2" t="s">
        <v>44</v>
      </c>
      <c r="D23" s="1" t="s">
        <v>533</v>
      </c>
      <c r="E23" s="2">
        <f t="shared" si="0"/>
        <v>41</v>
      </c>
    </row>
    <row r="24" spans="1:14">
      <c r="A24" s="4" t="s">
        <v>22</v>
      </c>
      <c r="B24" s="2" t="s">
        <v>96</v>
      </c>
      <c r="C24" s="2" t="s">
        <v>46</v>
      </c>
      <c r="D24" s="1" t="s">
        <v>534</v>
      </c>
      <c r="E24" s="2">
        <f t="shared" si="0"/>
        <v>51</v>
      </c>
    </row>
    <row r="25" spans="1:14">
      <c r="A25" s="4" t="s">
        <v>23</v>
      </c>
      <c r="B25" s="2" t="s">
        <v>98</v>
      </c>
      <c r="C25" s="2" t="s">
        <v>44</v>
      </c>
      <c r="D25" s="1" t="s">
        <v>47</v>
      </c>
      <c r="E25" s="2">
        <f t="shared" si="0"/>
        <v>22</v>
      </c>
      <c r="L25" s="2">
        <v>1</v>
      </c>
      <c r="N25" s="9" t="s">
        <v>535</v>
      </c>
    </row>
    <row r="26" spans="1:14">
      <c r="A26" s="4" t="s">
        <v>24</v>
      </c>
      <c r="B26" s="2" t="s">
        <v>93</v>
      </c>
      <c r="C26" s="2" t="s">
        <v>46</v>
      </c>
      <c r="D26" s="1" t="s">
        <v>48</v>
      </c>
      <c r="E26" s="2">
        <f t="shared" si="0"/>
        <v>28</v>
      </c>
    </row>
    <row r="27" spans="1:14">
      <c r="A27" s="4" t="s">
        <v>26</v>
      </c>
      <c r="B27" s="2" t="s">
        <v>94</v>
      </c>
      <c r="C27" s="2" t="s">
        <v>44</v>
      </c>
      <c r="D27" s="1" t="s">
        <v>536</v>
      </c>
      <c r="E27" s="2">
        <f t="shared" si="0"/>
        <v>79</v>
      </c>
    </row>
    <row r="28" spans="1:14">
      <c r="A28" s="4" t="s">
        <v>27</v>
      </c>
      <c r="B28" s="2" t="s">
        <v>95</v>
      </c>
      <c r="C28" s="2" t="s">
        <v>50</v>
      </c>
      <c r="D28" s="1" t="s">
        <v>49</v>
      </c>
      <c r="E28" s="2">
        <f t="shared" si="0"/>
        <v>2</v>
      </c>
    </row>
    <row r="29" spans="1:14">
      <c r="A29" s="4" t="s">
        <v>30</v>
      </c>
      <c r="B29" s="2" t="s">
        <v>99</v>
      </c>
      <c r="C29" s="2" t="s">
        <v>44</v>
      </c>
      <c r="D29" s="1" t="s">
        <v>51</v>
      </c>
      <c r="E29" s="2">
        <f t="shared" si="0"/>
        <v>23</v>
      </c>
    </row>
    <row r="30" spans="1:14">
      <c r="A30" s="4" t="s">
        <v>363</v>
      </c>
      <c r="B30" s="2" t="s">
        <v>100</v>
      </c>
      <c r="C30" s="2" t="s">
        <v>28</v>
      </c>
      <c r="D30" s="2" t="s">
        <v>49</v>
      </c>
      <c r="E30" s="2">
        <f t="shared" si="0"/>
        <v>2</v>
      </c>
    </row>
    <row r="31" spans="1:14">
      <c r="A31" s="4" t="s">
        <v>364</v>
      </c>
      <c r="B31" s="2" t="s">
        <v>101</v>
      </c>
      <c r="C31" s="2" t="s">
        <v>44</v>
      </c>
      <c r="D31" s="1" t="s">
        <v>52</v>
      </c>
      <c r="E31" s="2">
        <f t="shared" si="0"/>
        <v>24</v>
      </c>
    </row>
    <row r="32" spans="1:14">
      <c r="A32" s="4" t="s">
        <v>365</v>
      </c>
      <c r="B32" s="2" t="s">
        <v>102</v>
      </c>
      <c r="C32" s="2" t="s">
        <v>57</v>
      </c>
      <c r="D32" s="2" t="s">
        <v>53</v>
      </c>
      <c r="E32" s="2">
        <f t="shared" si="0"/>
        <v>2</v>
      </c>
    </row>
    <row r="33" spans="1:12">
      <c r="A33" s="4" t="s">
        <v>366</v>
      </c>
      <c r="B33" s="2" t="s">
        <v>103</v>
      </c>
      <c r="C33" s="2" t="s">
        <v>44</v>
      </c>
      <c r="D33" s="2" t="s">
        <v>54</v>
      </c>
      <c r="E33" s="2">
        <f t="shared" si="0"/>
        <v>2</v>
      </c>
    </row>
    <row r="34" spans="1:12">
      <c r="A34" s="4" t="s">
        <v>367</v>
      </c>
      <c r="B34" s="2" t="s">
        <v>104</v>
      </c>
      <c r="C34" s="2" t="s">
        <v>57</v>
      </c>
      <c r="D34" s="1" t="s">
        <v>55</v>
      </c>
      <c r="E34" s="2">
        <f t="shared" si="0"/>
        <v>3</v>
      </c>
    </row>
    <row r="35" spans="1:12">
      <c r="A35" s="4" t="s">
        <v>368</v>
      </c>
      <c r="B35" s="2" t="s">
        <v>105</v>
      </c>
      <c r="C35" s="2" t="s">
        <v>44</v>
      </c>
      <c r="D35" s="1" t="s">
        <v>56</v>
      </c>
      <c r="E35" s="2">
        <f t="shared" si="0"/>
        <v>6</v>
      </c>
    </row>
    <row r="36" spans="1:12">
      <c r="A36" s="4" t="s">
        <v>369</v>
      </c>
      <c r="B36" s="2" t="s">
        <v>106</v>
      </c>
      <c r="C36" s="2" t="s">
        <v>28</v>
      </c>
      <c r="D36" s="1" t="s">
        <v>58</v>
      </c>
      <c r="E36" s="2">
        <f t="shared" si="0"/>
        <v>3</v>
      </c>
    </row>
    <row r="37" spans="1:12">
      <c r="A37" s="4" t="s">
        <v>370</v>
      </c>
      <c r="B37" s="2" t="s">
        <v>108</v>
      </c>
      <c r="C37" s="2" t="s">
        <v>44</v>
      </c>
      <c r="D37" s="1" t="s">
        <v>59</v>
      </c>
      <c r="E37" s="2">
        <f t="shared" si="0"/>
        <v>10</v>
      </c>
      <c r="L37" s="2">
        <v>1</v>
      </c>
    </row>
    <row r="38" spans="1:12">
      <c r="A38" s="4" t="s">
        <v>371</v>
      </c>
      <c r="B38" s="2" t="s">
        <v>107</v>
      </c>
      <c r="C38" s="2" t="s">
        <v>70</v>
      </c>
      <c r="D38" s="1" t="s">
        <v>60</v>
      </c>
      <c r="E38" s="2">
        <f t="shared" si="0"/>
        <v>11</v>
      </c>
    </row>
    <row r="39" spans="1:12">
      <c r="A39" s="4" t="s">
        <v>372</v>
      </c>
      <c r="B39" s="2" t="s">
        <v>109</v>
      </c>
      <c r="C39" s="2" t="s">
        <v>44</v>
      </c>
      <c r="D39" s="1" t="s">
        <v>61</v>
      </c>
      <c r="E39" s="2">
        <f t="shared" si="0"/>
        <v>13</v>
      </c>
      <c r="F39" s="2">
        <v>1</v>
      </c>
    </row>
    <row r="40" spans="1:12">
      <c r="A40" s="4" t="s">
        <v>373</v>
      </c>
      <c r="B40" s="2" t="s">
        <v>110</v>
      </c>
      <c r="C40" s="2" t="s">
        <v>70</v>
      </c>
      <c r="D40" s="1" t="s">
        <v>42</v>
      </c>
      <c r="E40" s="2">
        <f t="shared" si="0"/>
        <v>1</v>
      </c>
    </row>
    <row r="41" spans="1:12">
      <c r="A41" s="4" t="s">
        <v>374</v>
      </c>
      <c r="B41" s="2" t="s">
        <v>115</v>
      </c>
      <c r="C41" s="2" t="s">
        <v>44</v>
      </c>
      <c r="D41" s="2" t="s">
        <v>62</v>
      </c>
      <c r="E41" s="2">
        <f t="shared" si="0"/>
        <v>29</v>
      </c>
      <c r="K41" s="2">
        <v>1</v>
      </c>
    </row>
    <row r="42" spans="1:12">
      <c r="A42" s="4" t="s">
        <v>375</v>
      </c>
      <c r="B42" s="3" t="s">
        <v>114</v>
      </c>
      <c r="C42" s="2" t="s">
        <v>28</v>
      </c>
      <c r="D42" s="2" t="s">
        <v>63</v>
      </c>
      <c r="E42" s="2">
        <f t="shared" si="0"/>
        <v>2</v>
      </c>
    </row>
    <row r="43" spans="1:12">
      <c r="A43" s="4" t="s">
        <v>376</v>
      </c>
      <c r="B43" s="3" t="s">
        <v>111</v>
      </c>
      <c r="C43" s="2" t="s">
        <v>44</v>
      </c>
      <c r="D43" s="2" t="s">
        <v>64</v>
      </c>
      <c r="E43" s="2">
        <f t="shared" si="0"/>
        <v>21</v>
      </c>
    </row>
    <row r="44" spans="1:12">
      <c r="A44" s="4" t="s">
        <v>377</v>
      </c>
      <c r="B44" s="2" t="s">
        <v>112</v>
      </c>
      <c r="C44" s="2" t="s">
        <v>71</v>
      </c>
      <c r="D44" s="1" t="s">
        <v>42</v>
      </c>
      <c r="E44" s="2">
        <f t="shared" si="0"/>
        <v>1</v>
      </c>
    </row>
    <row r="45" spans="1:12">
      <c r="A45" s="4" t="s">
        <v>378</v>
      </c>
      <c r="B45" s="2" t="s">
        <v>113</v>
      </c>
      <c r="C45" s="2" t="s">
        <v>44</v>
      </c>
      <c r="D45" s="1" t="s">
        <v>537</v>
      </c>
      <c r="E45" s="2">
        <f t="shared" si="0"/>
        <v>54</v>
      </c>
      <c r="K45" s="2">
        <v>1</v>
      </c>
    </row>
    <row r="46" spans="1:12">
      <c r="A46" s="4" t="s">
        <v>379</v>
      </c>
      <c r="B46" s="2" t="s">
        <v>116</v>
      </c>
      <c r="C46" s="2" t="s">
        <v>25</v>
      </c>
      <c r="D46" s="2" t="s">
        <v>65</v>
      </c>
      <c r="E46" s="2">
        <f t="shared" si="0"/>
        <v>2</v>
      </c>
    </row>
    <row r="47" spans="1:12">
      <c r="A47" s="4" t="s">
        <v>380</v>
      </c>
      <c r="B47" s="2" t="s">
        <v>117</v>
      </c>
      <c r="C47" s="2" t="s">
        <v>44</v>
      </c>
      <c r="D47" s="1" t="s">
        <v>66</v>
      </c>
      <c r="E47" s="2">
        <f t="shared" si="0"/>
        <v>9</v>
      </c>
      <c r="L47" s="2">
        <v>1</v>
      </c>
    </row>
    <row r="48" spans="1:12">
      <c r="A48" s="4" t="s">
        <v>381</v>
      </c>
      <c r="B48" s="2" t="s">
        <v>118</v>
      </c>
      <c r="C48" s="2" t="s">
        <v>72</v>
      </c>
      <c r="D48" s="1" t="s">
        <v>67</v>
      </c>
      <c r="E48" s="2">
        <f t="shared" si="0"/>
        <v>1</v>
      </c>
    </row>
    <row r="49" spans="1:11">
      <c r="A49" s="4" t="s">
        <v>382</v>
      </c>
      <c r="B49" s="2" t="s">
        <v>119</v>
      </c>
      <c r="C49" s="2" t="s">
        <v>44</v>
      </c>
      <c r="D49" s="1" t="s">
        <v>68</v>
      </c>
      <c r="E49" s="2">
        <f t="shared" si="0"/>
        <v>10</v>
      </c>
      <c r="K49" s="2">
        <v>1</v>
      </c>
    </row>
    <row r="50" spans="1:11">
      <c r="A50" s="4" t="s">
        <v>383</v>
      </c>
      <c r="B50" s="2" t="s">
        <v>120</v>
      </c>
      <c r="C50" s="2" t="s">
        <v>15</v>
      </c>
      <c r="D50" s="1" t="s">
        <v>69</v>
      </c>
      <c r="E50" s="2">
        <f t="shared" si="0"/>
        <v>5</v>
      </c>
    </row>
    <row r="51" spans="1:11">
      <c r="A51" s="4" t="s">
        <v>384</v>
      </c>
      <c r="B51" s="2" t="s">
        <v>121</v>
      </c>
      <c r="C51" s="2" t="s">
        <v>44</v>
      </c>
      <c r="D51" s="1" t="s">
        <v>538</v>
      </c>
      <c r="E51" s="2">
        <f t="shared" si="0"/>
        <v>123</v>
      </c>
    </row>
    <row r="52" spans="1:11">
      <c r="A52" s="4" t="s">
        <v>385</v>
      </c>
      <c r="B52" s="2" t="s">
        <v>122</v>
      </c>
      <c r="C52" s="2" t="s">
        <v>28</v>
      </c>
      <c r="D52" s="1" t="s">
        <v>125</v>
      </c>
      <c r="E52" s="2">
        <f t="shared" si="0"/>
        <v>1</v>
      </c>
    </row>
    <row r="53" spans="1:11">
      <c r="A53" s="4" t="s">
        <v>386</v>
      </c>
      <c r="B53" s="2" t="s">
        <v>123</v>
      </c>
      <c r="C53" s="2" t="s">
        <v>44</v>
      </c>
      <c r="D53" s="1" t="s">
        <v>126</v>
      </c>
      <c r="E53" s="2">
        <f t="shared" si="0"/>
        <v>33</v>
      </c>
    </row>
    <row r="54" spans="1:11">
      <c r="A54" s="4" t="s">
        <v>387</v>
      </c>
      <c r="B54" s="2" t="s">
        <v>129</v>
      </c>
      <c r="C54" s="2" t="s">
        <v>141</v>
      </c>
      <c r="D54" s="2" t="s">
        <v>127</v>
      </c>
      <c r="E54" s="2">
        <f t="shared" si="0"/>
        <v>1</v>
      </c>
    </row>
    <row r="55" spans="1:11">
      <c r="A55" s="4" t="s">
        <v>388</v>
      </c>
      <c r="B55" s="2" t="s">
        <v>130</v>
      </c>
      <c r="C55" s="2" t="s">
        <v>44</v>
      </c>
      <c r="D55" s="1" t="s">
        <v>128</v>
      </c>
      <c r="E55" s="2">
        <f t="shared" si="0"/>
        <v>30</v>
      </c>
    </row>
    <row r="56" spans="1:11">
      <c r="A56" s="4" t="s">
        <v>389</v>
      </c>
      <c r="B56" s="2" t="s">
        <v>124</v>
      </c>
      <c r="C56" s="2" t="s">
        <v>25</v>
      </c>
      <c r="D56" s="1" t="s">
        <v>131</v>
      </c>
      <c r="E56" s="2">
        <f t="shared" si="0"/>
        <v>6</v>
      </c>
    </row>
    <row r="57" spans="1:11">
      <c r="A57" s="4" t="s">
        <v>390</v>
      </c>
      <c r="B57" s="2" t="s">
        <v>142</v>
      </c>
      <c r="C57" s="2" t="s">
        <v>44</v>
      </c>
      <c r="D57" s="1" t="s">
        <v>139</v>
      </c>
      <c r="E57" s="2">
        <f t="shared" si="0"/>
        <v>28</v>
      </c>
    </row>
    <row r="58" spans="1:11">
      <c r="A58" s="4" t="s">
        <v>391</v>
      </c>
      <c r="B58" s="2" t="s">
        <v>143</v>
      </c>
      <c r="C58" s="2" t="s">
        <v>140</v>
      </c>
      <c r="D58" s="2" t="s">
        <v>132</v>
      </c>
      <c r="E58" s="2">
        <f t="shared" si="0"/>
        <v>2</v>
      </c>
    </row>
    <row r="59" spans="1:11">
      <c r="A59" s="4" t="s">
        <v>392</v>
      </c>
      <c r="B59" s="2" t="s">
        <v>144</v>
      </c>
      <c r="C59" s="2" t="s">
        <v>44</v>
      </c>
      <c r="D59" s="1" t="s">
        <v>133</v>
      </c>
      <c r="E59" s="2">
        <f t="shared" si="0"/>
        <v>2</v>
      </c>
      <c r="I59" s="2">
        <v>1</v>
      </c>
    </row>
    <row r="60" spans="1:11">
      <c r="A60" s="4" t="s">
        <v>393</v>
      </c>
      <c r="B60" s="2" t="s">
        <v>145</v>
      </c>
      <c r="C60" s="2" t="s">
        <v>140</v>
      </c>
      <c r="D60" s="1" t="s">
        <v>134</v>
      </c>
      <c r="E60" s="2">
        <f t="shared" si="0"/>
        <v>2</v>
      </c>
    </row>
    <row r="61" spans="1:11">
      <c r="A61" s="4" t="s">
        <v>394</v>
      </c>
      <c r="B61" s="2" t="s">
        <v>146</v>
      </c>
      <c r="C61" s="2" t="s">
        <v>44</v>
      </c>
      <c r="D61" s="1" t="s">
        <v>135</v>
      </c>
      <c r="E61" s="2">
        <f t="shared" si="0"/>
        <v>4</v>
      </c>
      <c r="H61" s="2">
        <v>1</v>
      </c>
    </row>
    <row r="62" spans="1:11">
      <c r="A62" s="4" t="s">
        <v>395</v>
      </c>
      <c r="B62" s="2" t="s">
        <v>147</v>
      </c>
      <c r="C62" s="2" t="s">
        <v>140</v>
      </c>
      <c r="D62" s="1" t="s">
        <v>136</v>
      </c>
      <c r="E62" s="2">
        <f t="shared" si="0"/>
        <v>3</v>
      </c>
    </row>
    <row r="63" spans="1:11">
      <c r="A63" s="4" t="s">
        <v>396</v>
      </c>
      <c r="B63" s="2" t="s">
        <v>148</v>
      </c>
      <c r="C63" s="2" t="s">
        <v>44</v>
      </c>
      <c r="D63" s="1" t="s">
        <v>137</v>
      </c>
      <c r="E63" s="2">
        <f t="shared" si="0"/>
        <v>14</v>
      </c>
      <c r="H63" s="2">
        <v>1</v>
      </c>
    </row>
    <row r="64" spans="1:11">
      <c r="A64" s="4" t="s">
        <v>397</v>
      </c>
      <c r="B64" s="2" t="s">
        <v>149</v>
      </c>
      <c r="C64" s="2" t="s">
        <v>140</v>
      </c>
      <c r="D64" s="1" t="s">
        <v>138</v>
      </c>
      <c r="E64" s="2">
        <f t="shared" si="0"/>
        <v>4</v>
      </c>
    </row>
    <row r="65" spans="1:13">
      <c r="A65" s="4" t="s">
        <v>398</v>
      </c>
      <c r="B65" s="2" t="s">
        <v>150</v>
      </c>
      <c r="C65" s="2" t="s">
        <v>44</v>
      </c>
      <c r="D65" s="1" t="s">
        <v>539</v>
      </c>
      <c r="E65" s="2">
        <f t="shared" si="0"/>
        <v>48</v>
      </c>
    </row>
    <row r="66" spans="1:13">
      <c r="A66" s="4" t="s">
        <v>399</v>
      </c>
      <c r="B66" s="2" t="s">
        <v>151</v>
      </c>
      <c r="C66" s="2" t="s">
        <v>28</v>
      </c>
      <c r="D66" s="1" t="s">
        <v>153</v>
      </c>
      <c r="E66" s="2">
        <f t="shared" si="0"/>
        <v>5</v>
      </c>
    </row>
    <row r="67" spans="1:13">
      <c r="A67" s="4" t="s">
        <v>400</v>
      </c>
      <c r="B67" s="2" t="s">
        <v>154</v>
      </c>
      <c r="C67" s="2" t="s">
        <v>44</v>
      </c>
      <c r="D67" s="1" t="s">
        <v>540</v>
      </c>
      <c r="E67" s="2">
        <f t="shared" si="0"/>
        <v>206</v>
      </c>
    </row>
    <row r="68" spans="1:13">
      <c r="A68" s="4" t="s">
        <v>401</v>
      </c>
      <c r="B68" s="2" t="s">
        <v>152</v>
      </c>
      <c r="C68" s="2" t="s">
        <v>169</v>
      </c>
      <c r="D68" s="2" t="s">
        <v>32</v>
      </c>
      <c r="E68" s="2">
        <f t="shared" ref="E68:E131" si="1">LEN(D68)-LEN(SUBSTITUTE(D68," ",""))+1</f>
        <v>1</v>
      </c>
    </row>
    <row r="69" spans="1:13">
      <c r="A69" s="4" t="s">
        <v>402</v>
      </c>
      <c r="B69" s="2" t="s">
        <v>155</v>
      </c>
      <c r="C69" s="2" t="s">
        <v>44</v>
      </c>
      <c r="D69" s="1" t="s">
        <v>163</v>
      </c>
      <c r="E69" s="2">
        <f t="shared" si="1"/>
        <v>6</v>
      </c>
    </row>
    <row r="70" spans="1:13">
      <c r="A70" s="4" t="s">
        <v>403</v>
      </c>
      <c r="B70" s="2" t="s">
        <v>156</v>
      </c>
      <c r="C70" s="2" t="s">
        <v>169</v>
      </c>
      <c r="D70" s="1" t="s">
        <v>164</v>
      </c>
      <c r="E70" s="2">
        <f t="shared" si="1"/>
        <v>8</v>
      </c>
    </row>
    <row r="71" spans="1:13">
      <c r="A71" s="4" t="s">
        <v>404</v>
      </c>
      <c r="B71" s="2" t="s">
        <v>157</v>
      </c>
      <c r="C71" s="2" t="s">
        <v>44</v>
      </c>
      <c r="D71" s="1" t="s">
        <v>165</v>
      </c>
      <c r="E71" s="2">
        <f t="shared" si="1"/>
        <v>17</v>
      </c>
      <c r="H71" s="2">
        <v>1</v>
      </c>
    </row>
    <row r="72" spans="1:13">
      <c r="A72" s="4" t="s">
        <v>405</v>
      </c>
      <c r="B72" s="2" t="s">
        <v>158</v>
      </c>
      <c r="C72" s="2" t="s">
        <v>171</v>
      </c>
      <c r="D72" s="1" t="s">
        <v>166</v>
      </c>
      <c r="E72" s="2">
        <f t="shared" si="1"/>
        <v>5</v>
      </c>
    </row>
    <row r="73" spans="1:13">
      <c r="A73" s="4" t="s">
        <v>406</v>
      </c>
      <c r="B73" s="2" t="s">
        <v>159</v>
      </c>
      <c r="C73" s="2" t="s">
        <v>44</v>
      </c>
      <c r="D73" s="1" t="s">
        <v>167</v>
      </c>
      <c r="E73" s="2">
        <f t="shared" si="1"/>
        <v>18</v>
      </c>
      <c r="M73" s="2">
        <v>1</v>
      </c>
    </row>
    <row r="74" spans="1:13">
      <c r="A74" s="4" t="s">
        <v>407</v>
      </c>
      <c r="B74" s="2" t="s">
        <v>160</v>
      </c>
      <c r="C74" s="2" t="s">
        <v>170</v>
      </c>
      <c r="D74" s="1" t="s">
        <v>168</v>
      </c>
      <c r="E74" s="2">
        <f t="shared" si="1"/>
        <v>4</v>
      </c>
    </row>
    <row r="75" spans="1:13">
      <c r="A75" s="4" t="s">
        <v>408</v>
      </c>
      <c r="B75" s="2" t="s">
        <v>161</v>
      </c>
      <c r="C75" s="2" t="s">
        <v>44</v>
      </c>
      <c r="D75" s="1" t="s">
        <v>541</v>
      </c>
      <c r="E75" s="2">
        <f t="shared" si="1"/>
        <v>22</v>
      </c>
      <c r="K75" s="2">
        <v>1</v>
      </c>
    </row>
    <row r="76" spans="1:13">
      <c r="A76" s="4" t="s">
        <v>409</v>
      </c>
      <c r="B76" s="2" t="s">
        <v>162</v>
      </c>
      <c r="C76" s="2" t="s">
        <v>169</v>
      </c>
      <c r="D76" s="1" t="s">
        <v>29</v>
      </c>
      <c r="E76" s="2">
        <f t="shared" si="1"/>
        <v>1</v>
      </c>
    </row>
    <row r="77" spans="1:13">
      <c r="A77" s="4" t="s">
        <v>410</v>
      </c>
      <c r="B77" s="2" t="s">
        <v>172</v>
      </c>
      <c r="C77" s="2" t="s">
        <v>44</v>
      </c>
      <c r="D77" s="1" t="s">
        <v>185</v>
      </c>
      <c r="E77" s="2">
        <f t="shared" si="1"/>
        <v>29</v>
      </c>
    </row>
    <row r="78" spans="1:13">
      <c r="A78" s="4" t="s">
        <v>411</v>
      </c>
      <c r="B78" s="2" t="s">
        <v>173</v>
      </c>
      <c r="C78" s="2" t="s">
        <v>11</v>
      </c>
      <c r="D78" s="1" t="s">
        <v>186</v>
      </c>
      <c r="E78" s="2">
        <f t="shared" si="1"/>
        <v>7</v>
      </c>
    </row>
    <row r="79" spans="1:13">
      <c r="A79" s="4" t="s">
        <v>412</v>
      </c>
      <c r="B79" s="2" t="s">
        <v>174</v>
      </c>
      <c r="C79" s="2" t="s">
        <v>44</v>
      </c>
      <c r="D79" s="1" t="s">
        <v>187</v>
      </c>
      <c r="E79" s="2">
        <f t="shared" si="1"/>
        <v>5</v>
      </c>
    </row>
    <row r="80" spans="1:13">
      <c r="A80" s="4" t="s">
        <v>413</v>
      </c>
      <c r="B80" s="2" t="s">
        <v>175</v>
      </c>
      <c r="C80" s="2" t="s">
        <v>15</v>
      </c>
      <c r="D80" s="1" t="s">
        <v>188</v>
      </c>
      <c r="E80" s="2">
        <f t="shared" si="1"/>
        <v>3</v>
      </c>
    </row>
    <row r="81" spans="1:9">
      <c r="A81" s="4" t="s">
        <v>414</v>
      </c>
      <c r="B81" s="2" t="s">
        <v>176</v>
      </c>
      <c r="C81" s="2" t="s">
        <v>11</v>
      </c>
      <c r="D81" s="1" t="s">
        <v>189</v>
      </c>
      <c r="E81" s="2">
        <f t="shared" si="1"/>
        <v>2</v>
      </c>
    </row>
    <row r="82" spans="1:9">
      <c r="A82" s="4" t="s">
        <v>415</v>
      </c>
      <c r="B82" s="2" t="s">
        <v>177</v>
      </c>
      <c r="C82" s="2" t="s">
        <v>44</v>
      </c>
      <c r="D82" s="1" t="s">
        <v>190</v>
      </c>
      <c r="E82" s="2">
        <f t="shared" si="1"/>
        <v>6</v>
      </c>
    </row>
    <row r="83" spans="1:9">
      <c r="A83" s="4" t="s">
        <v>416</v>
      </c>
      <c r="B83" s="2" t="s">
        <v>178</v>
      </c>
      <c r="C83" s="2" t="s">
        <v>11</v>
      </c>
      <c r="D83" s="2" t="s">
        <v>191</v>
      </c>
      <c r="E83" s="2">
        <f t="shared" si="1"/>
        <v>9</v>
      </c>
    </row>
    <row r="84" spans="1:9">
      <c r="A84" s="4" t="s">
        <v>417</v>
      </c>
      <c r="B84" s="2" t="s">
        <v>179</v>
      </c>
      <c r="C84" s="2" t="s">
        <v>44</v>
      </c>
      <c r="D84" s="2" t="s">
        <v>192</v>
      </c>
      <c r="E84" s="2">
        <f t="shared" si="1"/>
        <v>1</v>
      </c>
      <c r="F84" s="2">
        <v>1</v>
      </c>
    </row>
    <row r="85" spans="1:9">
      <c r="A85" s="4" t="s">
        <v>418</v>
      </c>
      <c r="B85" s="2" t="s">
        <v>180</v>
      </c>
      <c r="C85" s="2" t="s">
        <v>11</v>
      </c>
      <c r="D85" s="1" t="s">
        <v>194</v>
      </c>
      <c r="E85" s="2">
        <f t="shared" si="1"/>
        <v>2</v>
      </c>
    </row>
    <row r="86" spans="1:9">
      <c r="A86" s="4" t="s">
        <v>419</v>
      </c>
      <c r="B86" s="2" t="s">
        <v>181</v>
      </c>
      <c r="C86" s="2" t="s">
        <v>44</v>
      </c>
      <c r="D86" s="1" t="s">
        <v>193</v>
      </c>
      <c r="E86" s="2">
        <f t="shared" si="1"/>
        <v>14</v>
      </c>
      <c r="H86" s="2">
        <v>1</v>
      </c>
    </row>
    <row r="87" spans="1:9">
      <c r="A87" s="4" t="s">
        <v>420</v>
      </c>
      <c r="B87" s="2" t="s">
        <v>182</v>
      </c>
      <c r="C87" s="2" t="s">
        <v>11</v>
      </c>
      <c r="D87" s="1" t="s">
        <v>195</v>
      </c>
      <c r="E87" s="2">
        <f t="shared" si="1"/>
        <v>12</v>
      </c>
    </row>
    <row r="88" spans="1:9">
      <c r="A88" s="4" t="s">
        <v>421</v>
      </c>
      <c r="B88" s="2" t="s">
        <v>183</v>
      </c>
      <c r="C88" s="2" t="s">
        <v>44</v>
      </c>
      <c r="D88" s="1" t="s">
        <v>196</v>
      </c>
      <c r="E88" s="2">
        <f t="shared" si="1"/>
        <v>18</v>
      </c>
    </row>
    <row r="89" spans="1:9">
      <c r="A89" s="4" t="s">
        <v>422</v>
      </c>
      <c r="B89" s="2" t="s">
        <v>184</v>
      </c>
      <c r="C89" s="2" t="s">
        <v>197</v>
      </c>
      <c r="D89" s="1" t="s">
        <v>198</v>
      </c>
      <c r="E89" s="2">
        <f t="shared" si="1"/>
        <v>28</v>
      </c>
    </row>
    <row r="90" spans="1:9">
      <c r="A90" s="4" t="s">
        <v>423</v>
      </c>
      <c r="B90" s="2" t="s">
        <v>208</v>
      </c>
      <c r="C90" s="2" t="s">
        <v>44</v>
      </c>
      <c r="D90" s="1" t="s">
        <v>199</v>
      </c>
      <c r="E90" s="2">
        <f t="shared" si="1"/>
        <v>25</v>
      </c>
    </row>
    <row r="91" spans="1:9">
      <c r="A91" s="4" t="s">
        <v>424</v>
      </c>
      <c r="B91" s="2" t="s">
        <v>209</v>
      </c>
      <c r="C91" s="2" t="s">
        <v>57</v>
      </c>
      <c r="D91" s="2" t="s">
        <v>200</v>
      </c>
      <c r="E91" s="2">
        <f t="shared" si="1"/>
        <v>1</v>
      </c>
    </row>
    <row r="92" spans="1:9">
      <c r="A92" s="4" t="s">
        <v>425</v>
      </c>
      <c r="B92" s="2" t="s">
        <v>215</v>
      </c>
      <c r="C92" s="2" t="s">
        <v>44</v>
      </c>
      <c r="D92" s="1" t="s">
        <v>201</v>
      </c>
      <c r="E92" s="2">
        <f t="shared" si="1"/>
        <v>22</v>
      </c>
    </row>
    <row r="93" spans="1:9">
      <c r="A93" s="4" t="s">
        <v>426</v>
      </c>
      <c r="B93" s="2" t="s">
        <v>216</v>
      </c>
      <c r="C93" s="2" t="s">
        <v>141</v>
      </c>
      <c r="D93" s="1" t="s">
        <v>202</v>
      </c>
      <c r="E93" s="2">
        <f t="shared" si="1"/>
        <v>3</v>
      </c>
    </row>
    <row r="94" spans="1:9">
      <c r="A94" s="4" t="s">
        <v>427</v>
      </c>
      <c r="B94" s="2" t="s">
        <v>210</v>
      </c>
      <c r="C94" s="2" t="s">
        <v>44</v>
      </c>
      <c r="D94" s="2" t="s">
        <v>203</v>
      </c>
      <c r="E94" s="2">
        <f t="shared" si="1"/>
        <v>12</v>
      </c>
      <c r="F94" s="2">
        <v>1</v>
      </c>
    </row>
    <row r="95" spans="1:9">
      <c r="A95" s="4" t="s">
        <v>428</v>
      </c>
      <c r="B95" s="2" t="s">
        <v>211</v>
      </c>
      <c r="C95" s="2" t="s">
        <v>141</v>
      </c>
      <c r="D95" s="1" t="s">
        <v>204</v>
      </c>
      <c r="E95" s="2">
        <f t="shared" si="1"/>
        <v>6</v>
      </c>
    </row>
    <row r="96" spans="1:9">
      <c r="A96" s="4" t="s">
        <v>429</v>
      </c>
      <c r="B96" s="2" t="s">
        <v>212</v>
      </c>
      <c r="C96" s="2" t="s">
        <v>44</v>
      </c>
      <c r="D96" s="1" t="s">
        <v>206</v>
      </c>
      <c r="E96" s="2">
        <f t="shared" si="1"/>
        <v>11</v>
      </c>
      <c r="I96" s="2">
        <v>1</v>
      </c>
    </row>
    <row r="97" spans="1:13">
      <c r="A97" s="4" t="s">
        <v>430</v>
      </c>
      <c r="B97" s="2" t="s">
        <v>213</v>
      </c>
      <c r="C97" s="2" t="s">
        <v>141</v>
      </c>
      <c r="D97" s="2" t="s">
        <v>207</v>
      </c>
      <c r="E97" s="2">
        <f t="shared" si="1"/>
        <v>9</v>
      </c>
    </row>
    <row r="98" spans="1:13">
      <c r="A98" s="4" t="s">
        <v>431</v>
      </c>
      <c r="B98" s="2" t="s">
        <v>214</v>
      </c>
      <c r="C98" s="2" t="s">
        <v>44</v>
      </c>
      <c r="D98" s="1" t="s">
        <v>205</v>
      </c>
      <c r="E98" s="2">
        <f t="shared" si="1"/>
        <v>7</v>
      </c>
      <c r="H98" s="2">
        <v>1</v>
      </c>
    </row>
    <row r="99" spans="1:13">
      <c r="A99" s="4" t="s">
        <v>432</v>
      </c>
      <c r="B99" s="2" t="s">
        <v>220</v>
      </c>
      <c r="C99" s="2" t="s">
        <v>141</v>
      </c>
      <c r="D99" s="1" t="s">
        <v>217</v>
      </c>
      <c r="E99" s="2">
        <f t="shared" si="1"/>
        <v>5</v>
      </c>
    </row>
    <row r="100" spans="1:13">
      <c r="A100" s="4" t="s">
        <v>433</v>
      </c>
      <c r="B100" s="2" t="s">
        <v>221</v>
      </c>
      <c r="C100" s="2" t="s">
        <v>44</v>
      </c>
      <c r="D100" s="1" t="s">
        <v>218</v>
      </c>
      <c r="E100" s="2">
        <f t="shared" si="1"/>
        <v>11</v>
      </c>
      <c r="M100" s="2">
        <v>1</v>
      </c>
    </row>
    <row r="101" spans="1:13">
      <c r="A101" s="4" t="s">
        <v>434</v>
      </c>
      <c r="B101" s="2" t="s">
        <v>222</v>
      </c>
      <c r="C101" s="2" t="s">
        <v>227</v>
      </c>
      <c r="D101" s="1" t="s">
        <v>219</v>
      </c>
      <c r="E101" s="2">
        <f t="shared" si="1"/>
        <v>6</v>
      </c>
    </row>
    <row r="102" spans="1:13">
      <c r="A102" s="4" t="s">
        <v>435</v>
      </c>
      <c r="B102" s="2" t="s">
        <v>223</v>
      </c>
      <c r="C102" s="2" t="s">
        <v>28</v>
      </c>
      <c r="D102" s="2" t="s">
        <v>226</v>
      </c>
      <c r="E102" s="2">
        <f t="shared" si="1"/>
        <v>1</v>
      </c>
    </row>
    <row r="103" spans="1:13">
      <c r="A103" s="4" t="s">
        <v>436</v>
      </c>
      <c r="B103" s="2" t="s">
        <v>224</v>
      </c>
      <c r="C103" s="2" t="s">
        <v>44</v>
      </c>
      <c r="D103" s="1" t="s">
        <v>225</v>
      </c>
      <c r="E103" s="2">
        <f t="shared" si="1"/>
        <v>29</v>
      </c>
      <c r="M103" s="2">
        <v>1</v>
      </c>
    </row>
    <row r="104" spans="1:13">
      <c r="A104" s="4" t="s">
        <v>437</v>
      </c>
      <c r="B104" s="2" t="s">
        <v>234</v>
      </c>
      <c r="C104" s="2" t="s">
        <v>15</v>
      </c>
      <c r="D104" s="1" t="s">
        <v>229</v>
      </c>
      <c r="E104" s="2">
        <f t="shared" si="1"/>
        <v>2</v>
      </c>
    </row>
    <row r="105" spans="1:13">
      <c r="A105" s="4" t="s">
        <v>438</v>
      </c>
      <c r="B105" s="2" t="s">
        <v>235</v>
      </c>
      <c r="C105" s="2" t="s">
        <v>141</v>
      </c>
      <c r="D105" s="1" t="s">
        <v>230</v>
      </c>
      <c r="E105" s="2">
        <f t="shared" si="1"/>
        <v>5</v>
      </c>
    </row>
    <row r="106" spans="1:13">
      <c r="A106" s="4" t="s">
        <v>439</v>
      </c>
      <c r="B106" s="2" t="s">
        <v>236</v>
      </c>
      <c r="C106" s="2" t="s">
        <v>44</v>
      </c>
      <c r="D106" s="1" t="s">
        <v>233</v>
      </c>
      <c r="E106" s="2">
        <f t="shared" si="1"/>
        <v>13</v>
      </c>
      <c r="M106" s="2">
        <v>1</v>
      </c>
    </row>
    <row r="107" spans="1:13">
      <c r="A107" s="4" t="s">
        <v>440</v>
      </c>
      <c r="B107" s="2" t="s">
        <v>237</v>
      </c>
      <c r="C107" s="2" t="s">
        <v>72</v>
      </c>
      <c r="D107" s="2" t="s">
        <v>231</v>
      </c>
      <c r="E107" s="2">
        <f t="shared" si="1"/>
        <v>10</v>
      </c>
    </row>
    <row r="108" spans="1:13">
      <c r="A108" s="4" t="s">
        <v>441</v>
      </c>
      <c r="B108" s="2" t="s">
        <v>238</v>
      </c>
      <c r="C108" s="2" t="s">
        <v>44</v>
      </c>
      <c r="D108" s="1" t="s">
        <v>542</v>
      </c>
      <c r="E108" s="2">
        <f t="shared" si="1"/>
        <v>103</v>
      </c>
    </row>
    <row r="109" spans="1:13">
      <c r="A109" s="4" t="s">
        <v>442</v>
      </c>
      <c r="B109" s="2" t="s">
        <v>239</v>
      </c>
      <c r="C109" s="2" t="s">
        <v>28</v>
      </c>
      <c r="D109" s="2" t="s">
        <v>232</v>
      </c>
      <c r="E109" s="2">
        <f t="shared" si="1"/>
        <v>3</v>
      </c>
    </row>
    <row r="110" spans="1:13">
      <c r="A110" s="4" t="s">
        <v>443</v>
      </c>
      <c r="B110" s="2" t="s">
        <v>246</v>
      </c>
      <c r="C110" s="2" t="s">
        <v>44</v>
      </c>
      <c r="D110" s="1" t="s">
        <v>240</v>
      </c>
      <c r="E110" s="2">
        <f t="shared" si="1"/>
        <v>37</v>
      </c>
    </row>
    <row r="111" spans="1:13">
      <c r="A111" s="4" t="s">
        <v>444</v>
      </c>
      <c r="B111" s="2" t="s">
        <v>247</v>
      </c>
      <c r="C111" s="2" t="s">
        <v>228</v>
      </c>
      <c r="D111" s="1" t="s">
        <v>241</v>
      </c>
      <c r="E111" s="2">
        <f t="shared" si="1"/>
        <v>4</v>
      </c>
    </row>
    <row r="112" spans="1:13">
      <c r="A112" s="4" t="s">
        <v>445</v>
      </c>
      <c r="B112" s="2" t="s">
        <v>248</v>
      </c>
      <c r="C112" s="2" t="s">
        <v>72</v>
      </c>
      <c r="D112" s="1" t="s">
        <v>543</v>
      </c>
      <c r="E112" s="2">
        <f t="shared" si="1"/>
        <v>4</v>
      </c>
    </row>
    <row r="113" spans="1:6">
      <c r="A113" s="4" t="s">
        <v>446</v>
      </c>
      <c r="B113" s="2" t="s">
        <v>254</v>
      </c>
      <c r="C113" s="2" t="s">
        <v>28</v>
      </c>
      <c r="D113" s="2" t="s">
        <v>49</v>
      </c>
      <c r="E113" s="2">
        <f t="shared" si="1"/>
        <v>2</v>
      </c>
    </row>
    <row r="114" spans="1:6">
      <c r="A114" s="4" t="s">
        <v>447</v>
      </c>
      <c r="B114" s="2" t="s">
        <v>249</v>
      </c>
      <c r="C114" s="2" t="s">
        <v>11</v>
      </c>
      <c r="D114" s="1" t="s">
        <v>242</v>
      </c>
      <c r="E114" s="2">
        <f t="shared" si="1"/>
        <v>8</v>
      </c>
    </row>
    <row r="115" spans="1:6">
      <c r="A115" s="4" t="s">
        <v>448</v>
      </c>
      <c r="B115" s="2" t="s">
        <v>250</v>
      </c>
      <c r="C115" s="2" t="s">
        <v>44</v>
      </c>
      <c r="D115" s="2" t="s">
        <v>244</v>
      </c>
      <c r="E115" s="2">
        <f t="shared" si="1"/>
        <v>3</v>
      </c>
    </row>
    <row r="116" spans="1:6">
      <c r="A116" s="4" t="s">
        <v>449</v>
      </c>
      <c r="B116" s="3" t="s">
        <v>251</v>
      </c>
      <c r="C116" s="2" t="s">
        <v>11</v>
      </c>
      <c r="D116" s="1" t="s">
        <v>243</v>
      </c>
      <c r="E116" s="2">
        <f t="shared" si="1"/>
        <v>6</v>
      </c>
    </row>
    <row r="117" spans="1:6">
      <c r="A117" s="4" t="s">
        <v>450</v>
      </c>
      <c r="B117" s="2" t="s">
        <v>252</v>
      </c>
      <c r="C117" s="2" t="s">
        <v>28</v>
      </c>
      <c r="D117" s="2" t="s">
        <v>49</v>
      </c>
      <c r="E117" s="2">
        <f t="shared" si="1"/>
        <v>2</v>
      </c>
    </row>
    <row r="118" spans="1:6">
      <c r="A118" s="4" t="s">
        <v>451</v>
      </c>
      <c r="B118" s="2" t="s">
        <v>253</v>
      </c>
      <c r="C118" s="2" t="s">
        <v>44</v>
      </c>
      <c r="D118" s="1" t="s">
        <v>245</v>
      </c>
      <c r="E118" s="2">
        <f t="shared" si="1"/>
        <v>3</v>
      </c>
    </row>
    <row r="119" spans="1:6">
      <c r="A119" s="4" t="s">
        <v>452</v>
      </c>
      <c r="B119" s="3" t="s">
        <v>255</v>
      </c>
      <c r="C119" s="2" t="s">
        <v>28</v>
      </c>
      <c r="D119" s="2" t="s">
        <v>49</v>
      </c>
      <c r="E119" s="2">
        <f t="shared" si="1"/>
        <v>2</v>
      </c>
    </row>
    <row r="120" spans="1:6">
      <c r="A120" s="4" t="s">
        <v>453</v>
      </c>
      <c r="B120" s="2" t="s">
        <v>257</v>
      </c>
      <c r="C120" s="2" t="s">
        <v>44</v>
      </c>
      <c r="D120" s="2" t="s">
        <v>256</v>
      </c>
      <c r="E120" s="2">
        <f t="shared" si="1"/>
        <v>41</v>
      </c>
    </row>
    <row r="121" spans="1:6">
      <c r="A121" s="4" t="s">
        <v>454</v>
      </c>
      <c r="B121" s="2" t="s">
        <v>258</v>
      </c>
      <c r="C121" s="2" t="s">
        <v>28</v>
      </c>
      <c r="D121" s="1" t="s">
        <v>544</v>
      </c>
      <c r="E121" s="2">
        <f t="shared" si="1"/>
        <v>3</v>
      </c>
    </row>
    <row r="122" spans="1:6">
      <c r="A122" s="4" t="s">
        <v>455</v>
      </c>
      <c r="B122" s="2" t="s">
        <v>259</v>
      </c>
      <c r="C122" s="2" t="s">
        <v>44</v>
      </c>
      <c r="D122" s="1" t="s">
        <v>260</v>
      </c>
      <c r="E122" s="2">
        <f t="shared" si="1"/>
        <v>4</v>
      </c>
    </row>
    <row r="123" spans="1:6">
      <c r="A123" s="4" t="s">
        <v>456</v>
      </c>
      <c r="B123" s="2" t="s">
        <v>264</v>
      </c>
      <c r="C123" s="2" t="s">
        <v>28</v>
      </c>
      <c r="D123" s="1" t="s">
        <v>263</v>
      </c>
      <c r="E123" s="2">
        <f t="shared" si="1"/>
        <v>14</v>
      </c>
    </row>
    <row r="124" spans="1:6">
      <c r="A124" s="4" t="s">
        <v>457</v>
      </c>
      <c r="B124" s="2" t="s">
        <v>262</v>
      </c>
      <c r="C124" s="2" t="s">
        <v>44</v>
      </c>
      <c r="D124" s="1" t="s">
        <v>261</v>
      </c>
      <c r="E124" s="2">
        <f t="shared" si="1"/>
        <v>6</v>
      </c>
      <c r="F124" s="2">
        <v>1</v>
      </c>
    </row>
    <row r="125" spans="1:6">
      <c r="A125" s="4" t="s">
        <v>458</v>
      </c>
      <c r="B125" s="2" t="s">
        <v>271</v>
      </c>
      <c r="C125" s="2" t="s">
        <v>11</v>
      </c>
      <c r="D125" s="2" t="s">
        <v>265</v>
      </c>
      <c r="E125" s="2">
        <f t="shared" si="1"/>
        <v>10</v>
      </c>
    </row>
    <row r="126" spans="1:6">
      <c r="A126" s="4" t="s">
        <v>459</v>
      </c>
      <c r="B126" s="2" t="s">
        <v>272</v>
      </c>
      <c r="C126" s="2" t="s">
        <v>44</v>
      </c>
      <c r="D126" s="2" t="s">
        <v>266</v>
      </c>
      <c r="E126" s="2">
        <f t="shared" si="1"/>
        <v>4</v>
      </c>
    </row>
    <row r="127" spans="1:6">
      <c r="A127" s="4" t="s">
        <v>460</v>
      </c>
      <c r="B127" s="2" t="s">
        <v>273</v>
      </c>
      <c r="C127" s="2" t="s">
        <v>28</v>
      </c>
      <c r="D127" s="2" t="s">
        <v>267</v>
      </c>
      <c r="E127" s="2">
        <f t="shared" si="1"/>
        <v>5</v>
      </c>
    </row>
    <row r="128" spans="1:6">
      <c r="A128" s="4" t="s">
        <v>461</v>
      </c>
      <c r="B128" s="2" t="s">
        <v>274</v>
      </c>
      <c r="C128" s="2" t="s">
        <v>11</v>
      </c>
      <c r="D128" s="1" t="s">
        <v>268</v>
      </c>
      <c r="E128" s="2">
        <f t="shared" si="1"/>
        <v>11</v>
      </c>
    </row>
    <row r="129" spans="1:5">
      <c r="A129" s="4" t="s">
        <v>462</v>
      </c>
      <c r="B129" s="2" t="s">
        <v>270</v>
      </c>
      <c r="C129" s="2" t="s">
        <v>44</v>
      </c>
      <c r="D129" s="1" t="s">
        <v>269</v>
      </c>
      <c r="E129" s="2">
        <f t="shared" si="1"/>
        <v>11</v>
      </c>
    </row>
    <row r="130" spans="1:5">
      <c r="A130" s="4" t="s">
        <v>463</v>
      </c>
      <c r="B130" s="2" t="s">
        <v>280</v>
      </c>
      <c r="C130" s="2" t="s">
        <v>28</v>
      </c>
      <c r="D130" s="1" t="s">
        <v>276</v>
      </c>
      <c r="E130" s="2">
        <f t="shared" si="1"/>
        <v>5</v>
      </c>
    </row>
    <row r="131" spans="1:5">
      <c r="A131" s="4" t="s">
        <v>464</v>
      </c>
      <c r="B131" s="2" t="s">
        <v>281</v>
      </c>
      <c r="C131" s="2" t="s">
        <v>44</v>
      </c>
      <c r="D131" s="1" t="s">
        <v>275</v>
      </c>
      <c r="E131" s="2">
        <f t="shared" si="1"/>
        <v>8</v>
      </c>
    </row>
    <row r="132" spans="1:5">
      <c r="A132" s="4" t="s">
        <v>465</v>
      </c>
      <c r="B132" s="2" t="s">
        <v>282</v>
      </c>
      <c r="C132" s="2" t="s">
        <v>28</v>
      </c>
      <c r="D132" s="1" t="s">
        <v>277</v>
      </c>
      <c r="E132" s="2">
        <f t="shared" ref="E132:E176" si="2">LEN(D132)-LEN(SUBSTITUTE(D132," ",""))+1</f>
        <v>10</v>
      </c>
    </row>
    <row r="133" spans="1:5">
      <c r="A133" s="4" t="s">
        <v>466</v>
      </c>
      <c r="B133" s="2" t="s">
        <v>279</v>
      </c>
      <c r="C133" s="2" t="s">
        <v>44</v>
      </c>
      <c r="D133" s="1" t="s">
        <v>278</v>
      </c>
      <c r="E133" s="2">
        <f t="shared" si="2"/>
        <v>21</v>
      </c>
    </row>
    <row r="134" spans="1:5">
      <c r="A134" s="4" t="s">
        <v>467</v>
      </c>
      <c r="B134" s="2" t="s">
        <v>283</v>
      </c>
      <c r="C134" s="2" t="s">
        <v>28</v>
      </c>
      <c r="D134" s="2" t="s">
        <v>49</v>
      </c>
      <c r="E134" s="2">
        <f t="shared" si="2"/>
        <v>2</v>
      </c>
    </row>
    <row r="135" spans="1:5">
      <c r="A135" s="4" t="s">
        <v>468</v>
      </c>
      <c r="B135" s="2" t="s">
        <v>284</v>
      </c>
      <c r="C135" s="2" t="s">
        <v>44</v>
      </c>
      <c r="D135" s="1" t="s">
        <v>285</v>
      </c>
      <c r="E135" s="2">
        <f t="shared" si="2"/>
        <v>10</v>
      </c>
    </row>
    <row r="136" spans="1:5">
      <c r="A136" s="4" t="s">
        <v>469</v>
      </c>
      <c r="B136" s="2" t="s">
        <v>286</v>
      </c>
      <c r="C136" s="2" t="s">
        <v>28</v>
      </c>
      <c r="D136" s="2" t="s">
        <v>49</v>
      </c>
      <c r="E136" s="2">
        <f t="shared" si="2"/>
        <v>2</v>
      </c>
    </row>
    <row r="137" spans="1:5">
      <c r="A137" s="4" t="s">
        <v>470</v>
      </c>
      <c r="B137" s="2" t="s">
        <v>287</v>
      </c>
      <c r="C137" s="2" t="s">
        <v>44</v>
      </c>
      <c r="D137" s="1" t="s">
        <v>545</v>
      </c>
      <c r="E137" s="2">
        <f t="shared" si="2"/>
        <v>42</v>
      </c>
    </row>
    <row r="138" spans="1:5">
      <c r="A138" s="4" t="s">
        <v>471</v>
      </c>
      <c r="B138" s="2" t="s">
        <v>290</v>
      </c>
      <c r="C138" s="2" t="s">
        <v>28</v>
      </c>
      <c r="D138" s="2" t="s">
        <v>49</v>
      </c>
      <c r="E138" s="2">
        <f t="shared" si="2"/>
        <v>2</v>
      </c>
    </row>
    <row r="139" spans="1:5">
      <c r="A139" s="4" t="s">
        <v>472</v>
      </c>
      <c r="B139" s="2" t="s">
        <v>289</v>
      </c>
      <c r="C139" s="2" t="s">
        <v>44</v>
      </c>
      <c r="D139" s="1" t="s">
        <v>288</v>
      </c>
      <c r="E139" s="2">
        <f t="shared" si="2"/>
        <v>5</v>
      </c>
    </row>
    <row r="140" spans="1:5">
      <c r="A140" s="4" t="s">
        <v>473</v>
      </c>
      <c r="B140" s="2" t="s">
        <v>291</v>
      </c>
      <c r="C140" s="2" t="s">
        <v>28</v>
      </c>
      <c r="D140" s="2" t="s">
        <v>49</v>
      </c>
      <c r="E140" s="2">
        <f t="shared" si="2"/>
        <v>2</v>
      </c>
    </row>
    <row r="141" spans="1:5">
      <c r="A141" s="4" t="s">
        <v>474</v>
      </c>
      <c r="B141" s="2" t="s">
        <v>293</v>
      </c>
      <c r="C141" s="2" t="s">
        <v>44</v>
      </c>
      <c r="D141" s="1" t="s">
        <v>292</v>
      </c>
      <c r="E141" s="2">
        <f t="shared" si="2"/>
        <v>20</v>
      </c>
    </row>
    <row r="142" spans="1:5">
      <c r="A142" s="4" t="s">
        <v>475</v>
      </c>
      <c r="B142" s="2" t="s">
        <v>302</v>
      </c>
      <c r="C142" s="2" t="s">
        <v>46</v>
      </c>
      <c r="D142" s="1" t="s">
        <v>294</v>
      </c>
      <c r="E142" s="2">
        <f t="shared" si="2"/>
        <v>10</v>
      </c>
    </row>
    <row r="143" spans="1:5">
      <c r="A143" s="4" t="s">
        <v>476</v>
      </c>
      <c r="B143" s="2" t="s">
        <v>303</v>
      </c>
      <c r="C143" s="2" t="s">
        <v>44</v>
      </c>
      <c r="D143" s="1" t="s">
        <v>295</v>
      </c>
      <c r="E143" s="2">
        <f t="shared" si="2"/>
        <v>6</v>
      </c>
    </row>
    <row r="144" spans="1:5">
      <c r="A144" s="4" t="s">
        <v>477</v>
      </c>
      <c r="B144" s="2" t="s">
        <v>304</v>
      </c>
      <c r="C144" s="2" t="s">
        <v>46</v>
      </c>
      <c r="D144" s="1" t="s">
        <v>296</v>
      </c>
      <c r="E144" s="2">
        <f t="shared" si="2"/>
        <v>7</v>
      </c>
    </row>
    <row r="145" spans="1:5">
      <c r="A145" s="4" t="s">
        <v>478</v>
      </c>
      <c r="B145" s="2" t="s">
        <v>305</v>
      </c>
      <c r="C145" s="2" t="s">
        <v>44</v>
      </c>
      <c r="D145" s="2" t="s">
        <v>297</v>
      </c>
      <c r="E145" s="2">
        <f t="shared" si="2"/>
        <v>6</v>
      </c>
    </row>
    <row r="146" spans="1:5">
      <c r="A146" s="4" t="s">
        <v>479</v>
      </c>
      <c r="B146" s="2" t="s">
        <v>309</v>
      </c>
      <c r="C146" s="2" t="s">
        <v>301</v>
      </c>
      <c r="D146" s="1" t="s">
        <v>298</v>
      </c>
      <c r="E146" s="2">
        <f t="shared" si="2"/>
        <v>7</v>
      </c>
    </row>
    <row r="147" spans="1:5">
      <c r="A147" s="4" t="s">
        <v>480</v>
      </c>
      <c r="B147" s="2" t="s">
        <v>306</v>
      </c>
      <c r="C147" s="2" t="s">
        <v>44</v>
      </c>
      <c r="D147" s="1" t="s">
        <v>299</v>
      </c>
      <c r="E147" s="2">
        <f t="shared" si="2"/>
        <v>20</v>
      </c>
    </row>
    <row r="148" spans="1:5">
      <c r="A148" s="4" t="s">
        <v>481</v>
      </c>
      <c r="B148" s="2" t="s">
        <v>307</v>
      </c>
      <c r="C148" s="2" t="s">
        <v>28</v>
      </c>
      <c r="D148" s="2" t="s">
        <v>32</v>
      </c>
      <c r="E148" s="2">
        <f t="shared" si="2"/>
        <v>1</v>
      </c>
    </row>
    <row r="149" spans="1:5">
      <c r="A149" s="4" t="s">
        <v>482</v>
      </c>
      <c r="B149" s="2" t="s">
        <v>308</v>
      </c>
      <c r="C149" s="2" t="s">
        <v>44</v>
      </c>
      <c r="D149" s="1" t="s">
        <v>300</v>
      </c>
      <c r="E149" s="2">
        <f t="shared" si="2"/>
        <v>3</v>
      </c>
    </row>
    <row r="150" spans="1:5">
      <c r="A150" s="4" t="s">
        <v>483</v>
      </c>
      <c r="B150" s="2" t="s">
        <v>313</v>
      </c>
      <c r="C150" s="2" t="s">
        <v>333</v>
      </c>
      <c r="D150" s="1" t="s">
        <v>311</v>
      </c>
      <c r="E150" s="2">
        <f t="shared" si="2"/>
        <v>12</v>
      </c>
    </row>
    <row r="151" spans="1:5">
      <c r="A151" s="4" t="s">
        <v>487</v>
      </c>
      <c r="B151" s="2" t="s">
        <v>314</v>
      </c>
      <c r="C151" s="2" t="s">
        <v>44</v>
      </c>
      <c r="D151" s="1" t="s">
        <v>310</v>
      </c>
      <c r="E151" s="2">
        <f t="shared" si="2"/>
        <v>15</v>
      </c>
    </row>
    <row r="152" spans="1:5">
      <c r="A152" s="4" t="s">
        <v>484</v>
      </c>
      <c r="B152" s="2" t="s">
        <v>315</v>
      </c>
      <c r="C152" s="2" t="s">
        <v>312</v>
      </c>
      <c r="D152" s="2" t="s">
        <v>316</v>
      </c>
      <c r="E152" s="2">
        <f t="shared" si="2"/>
        <v>3</v>
      </c>
    </row>
    <row r="153" spans="1:5">
      <c r="A153" s="4" t="s">
        <v>485</v>
      </c>
      <c r="B153" s="2" t="s">
        <v>318</v>
      </c>
      <c r="C153" s="2" t="s">
        <v>44</v>
      </c>
      <c r="D153" s="2" t="s">
        <v>317</v>
      </c>
      <c r="E153" s="2">
        <f t="shared" si="2"/>
        <v>8</v>
      </c>
    </row>
    <row r="154" spans="1:5">
      <c r="A154" s="4" t="s">
        <v>486</v>
      </c>
      <c r="B154" s="2" t="s">
        <v>320</v>
      </c>
      <c r="C154" s="2" t="s">
        <v>321</v>
      </c>
      <c r="D154" s="2" t="s">
        <v>319</v>
      </c>
      <c r="E154" s="2">
        <f t="shared" si="2"/>
        <v>9</v>
      </c>
    </row>
    <row r="155" spans="1:5">
      <c r="A155" s="4" t="s">
        <v>488</v>
      </c>
      <c r="B155" s="2" t="s">
        <v>322</v>
      </c>
      <c r="C155" s="2" t="s">
        <v>44</v>
      </c>
      <c r="D155" s="1" t="s">
        <v>546</v>
      </c>
      <c r="E155" s="2">
        <f t="shared" si="2"/>
        <v>43</v>
      </c>
    </row>
    <row r="156" spans="1:5">
      <c r="A156" s="4" t="s">
        <v>489</v>
      </c>
      <c r="B156" s="2" t="s">
        <v>323</v>
      </c>
      <c r="C156" s="2" t="s">
        <v>324</v>
      </c>
      <c r="D156" s="1" t="s">
        <v>326</v>
      </c>
      <c r="E156" s="2">
        <f t="shared" si="2"/>
        <v>12</v>
      </c>
    </row>
    <row r="157" spans="1:5">
      <c r="A157" s="4" t="s">
        <v>490</v>
      </c>
      <c r="B157" s="2" t="s">
        <v>327</v>
      </c>
      <c r="C157" s="2" t="s">
        <v>44</v>
      </c>
      <c r="D157" s="1" t="s">
        <v>325</v>
      </c>
      <c r="E157" s="2">
        <f t="shared" si="2"/>
        <v>8</v>
      </c>
    </row>
    <row r="158" spans="1:5">
      <c r="A158" s="4" t="s">
        <v>491</v>
      </c>
      <c r="B158" s="2" t="s">
        <v>331</v>
      </c>
      <c r="C158" s="2" t="s">
        <v>28</v>
      </c>
      <c r="D158" s="2" t="s">
        <v>328</v>
      </c>
      <c r="E158" s="2">
        <f t="shared" si="2"/>
        <v>4</v>
      </c>
    </row>
    <row r="159" spans="1:5">
      <c r="A159" s="4" t="s">
        <v>492</v>
      </c>
      <c r="B159" s="2" t="s">
        <v>330</v>
      </c>
      <c r="C159" s="2" t="s">
        <v>44</v>
      </c>
      <c r="D159" s="1" t="s">
        <v>329</v>
      </c>
      <c r="E159" s="2">
        <f t="shared" si="2"/>
        <v>15</v>
      </c>
    </row>
    <row r="160" spans="1:5">
      <c r="A160" s="4" t="s">
        <v>493</v>
      </c>
      <c r="B160" s="2" t="s">
        <v>362</v>
      </c>
      <c r="C160" s="2" t="s">
        <v>140</v>
      </c>
      <c r="D160" s="2" t="s">
        <v>334</v>
      </c>
      <c r="E160" s="2">
        <f t="shared" si="2"/>
        <v>1</v>
      </c>
    </row>
    <row r="161" spans="1:12">
      <c r="A161" s="4" t="s">
        <v>494</v>
      </c>
      <c r="B161" s="2" t="s">
        <v>335</v>
      </c>
      <c r="C161" s="2" t="s">
        <v>44</v>
      </c>
      <c r="D161" s="2" t="s">
        <v>332</v>
      </c>
      <c r="E161" s="2">
        <f t="shared" si="2"/>
        <v>9</v>
      </c>
      <c r="L161" s="2">
        <v>1</v>
      </c>
    </row>
    <row r="162" spans="1:12">
      <c r="A162" s="4" t="s">
        <v>495</v>
      </c>
      <c r="B162" s="2" t="s">
        <v>361</v>
      </c>
      <c r="C162" s="2" t="s">
        <v>333</v>
      </c>
      <c r="D162" s="2" t="s">
        <v>334</v>
      </c>
      <c r="E162" s="2">
        <f t="shared" si="2"/>
        <v>1</v>
      </c>
    </row>
    <row r="163" spans="1:12">
      <c r="A163" s="4" t="s">
        <v>496</v>
      </c>
      <c r="B163" s="2" t="s">
        <v>336</v>
      </c>
      <c r="C163" s="2" t="s">
        <v>44</v>
      </c>
      <c r="D163" s="1" t="s">
        <v>337</v>
      </c>
      <c r="E163" s="2">
        <f t="shared" si="2"/>
        <v>30</v>
      </c>
    </row>
    <row r="164" spans="1:12">
      <c r="A164" s="4" t="s">
        <v>497</v>
      </c>
      <c r="B164" s="2" t="s">
        <v>360</v>
      </c>
      <c r="C164" s="2" t="s">
        <v>171</v>
      </c>
      <c r="D164" s="2" t="s">
        <v>338</v>
      </c>
      <c r="E164" s="2">
        <f t="shared" si="2"/>
        <v>3</v>
      </c>
    </row>
    <row r="165" spans="1:12">
      <c r="A165" s="4" t="s">
        <v>498</v>
      </c>
      <c r="B165" s="2" t="s">
        <v>339</v>
      </c>
      <c r="C165" s="2" t="s">
        <v>44</v>
      </c>
      <c r="D165" s="1" t="s">
        <v>547</v>
      </c>
      <c r="E165" s="2">
        <f t="shared" si="2"/>
        <v>51</v>
      </c>
    </row>
    <row r="166" spans="1:12">
      <c r="A166" s="4" t="s">
        <v>499</v>
      </c>
      <c r="B166" s="2" t="s">
        <v>340</v>
      </c>
      <c r="C166" s="2" t="s">
        <v>15</v>
      </c>
      <c r="D166" s="1" t="s">
        <v>342</v>
      </c>
      <c r="E166" s="2">
        <f t="shared" si="2"/>
        <v>4</v>
      </c>
    </row>
    <row r="167" spans="1:12">
      <c r="A167" s="4" t="s">
        <v>500</v>
      </c>
      <c r="B167" s="2" t="s">
        <v>341</v>
      </c>
      <c r="C167" s="2" t="s">
        <v>44</v>
      </c>
      <c r="D167" s="1" t="s">
        <v>343</v>
      </c>
      <c r="E167" s="2">
        <f t="shared" si="2"/>
        <v>25</v>
      </c>
    </row>
    <row r="168" spans="1:12">
      <c r="A168" s="4" t="s">
        <v>501</v>
      </c>
      <c r="B168" s="2" t="s">
        <v>349</v>
      </c>
      <c r="C168" s="2" t="s">
        <v>28</v>
      </c>
      <c r="D168" s="1" t="s">
        <v>226</v>
      </c>
      <c r="E168" s="2">
        <f t="shared" si="2"/>
        <v>1</v>
      </c>
    </row>
    <row r="169" spans="1:12">
      <c r="A169" s="4" t="s">
        <v>502</v>
      </c>
      <c r="B169" s="2" t="s">
        <v>350</v>
      </c>
      <c r="C169" s="2" t="s">
        <v>44</v>
      </c>
      <c r="D169" s="1" t="s">
        <v>344</v>
      </c>
      <c r="E169" s="2">
        <f t="shared" si="2"/>
        <v>49</v>
      </c>
    </row>
    <row r="170" spans="1:12">
      <c r="A170" s="4" t="s">
        <v>503</v>
      </c>
      <c r="B170" s="2" t="s">
        <v>351</v>
      </c>
      <c r="C170" s="2" t="s">
        <v>324</v>
      </c>
      <c r="D170" s="1" t="s">
        <v>29</v>
      </c>
      <c r="E170" s="2">
        <f t="shared" si="2"/>
        <v>1</v>
      </c>
    </row>
    <row r="171" spans="1:12">
      <c r="A171" s="4" t="s">
        <v>504</v>
      </c>
      <c r="B171" s="2" t="s">
        <v>354</v>
      </c>
      <c r="C171" s="2" t="s">
        <v>169</v>
      </c>
      <c r="D171" s="1" t="s">
        <v>345</v>
      </c>
      <c r="E171" s="2">
        <f t="shared" si="2"/>
        <v>1</v>
      </c>
    </row>
    <row r="172" spans="1:12">
      <c r="A172" s="4" t="s">
        <v>505</v>
      </c>
      <c r="B172" s="2" t="s">
        <v>355</v>
      </c>
      <c r="C172" s="2" t="s">
        <v>44</v>
      </c>
      <c r="D172" s="1" t="s">
        <v>359</v>
      </c>
      <c r="E172" s="2">
        <f t="shared" si="2"/>
        <v>9</v>
      </c>
    </row>
    <row r="173" spans="1:12">
      <c r="A173" s="4" t="s">
        <v>506</v>
      </c>
      <c r="B173" s="2" t="s">
        <v>352</v>
      </c>
      <c r="C173" s="2" t="s">
        <v>227</v>
      </c>
      <c r="D173" s="1" t="s">
        <v>346</v>
      </c>
      <c r="E173" s="2">
        <f t="shared" si="2"/>
        <v>3</v>
      </c>
    </row>
    <row r="174" spans="1:12">
      <c r="A174" s="4" t="s">
        <v>507</v>
      </c>
      <c r="B174" s="2" t="s">
        <v>353</v>
      </c>
      <c r="C174" s="2" t="s">
        <v>358</v>
      </c>
      <c r="D174" s="1" t="s">
        <v>29</v>
      </c>
      <c r="E174" s="2">
        <f t="shared" si="2"/>
        <v>1</v>
      </c>
    </row>
    <row r="175" spans="1:12">
      <c r="A175" s="4" t="s">
        <v>508</v>
      </c>
      <c r="B175" s="2" t="s">
        <v>356</v>
      </c>
      <c r="C175" s="2" t="s">
        <v>44</v>
      </c>
      <c r="D175" s="2" t="s">
        <v>347</v>
      </c>
      <c r="E175" s="2">
        <f t="shared" si="2"/>
        <v>15</v>
      </c>
    </row>
    <row r="176" spans="1:12">
      <c r="A176" s="4" t="s">
        <v>509</v>
      </c>
      <c r="B176" s="2" t="s">
        <v>357</v>
      </c>
      <c r="C176" s="2" t="s">
        <v>28</v>
      </c>
      <c r="D176" s="1" t="s">
        <v>348</v>
      </c>
      <c r="E176" s="2">
        <f t="shared" si="2"/>
        <v>6</v>
      </c>
    </row>
    <row r="178" spans="4:13">
      <c r="D178" s="7" t="s">
        <v>524</v>
      </c>
      <c r="E178" s="8">
        <f>SUM(E3:E176)</f>
        <v>2562</v>
      </c>
      <c r="F178" s="8">
        <f t="shared" ref="F178:M178" si="3">SUM(F3:F176)</f>
        <v>4</v>
      </c>
      <c r="G178" s="8">
        <f t="shared" si="3"/>
        <v>0</v>
      </c>
      <c r="H178" s="8">
        <f t="shared" si="3"/>
        <v>5</v>
      </c>
      <c r="I178" s="8">
        <f t="shared" si="3"/>
        <v>2</v>
      </c>
      <c r="J178" s="8">
        <f t="shared" si="3"/>
        <v>0</v>
      </c>
      <c r="K178" s="8">
        <f t="shared" si="3"/>
        <v>4</v>
      </c>
      <c r="L178" s="8">
        <f t="shared" si="3"/>
        <v>4</v>
      </c>
      <c r="M178" s="8">
        <f t="shared" si="3"/>
        <v>4</v>
      </c>
    </row>
    <row r="179" spans="4:13">
      <c r="D179" s="8" t="s">
        <v>525</v>
      </c>
      <c r="E179" s="8">
        <f>SUMIF(C3:C176, "Teacher", E3:E176)</f>
        <v>2076</v>
      </c>
    </row>
    <row r="180" spans="4:13">
      <c r="D180" s="8" t="s">
        <v>526</v>
      </c>
      <c r="E180" s="8">
        <f>E178-E179</f>
        <v>486</v>
      </c>
    </row>
    <row r="181" spans="4:13">
      <c r="D181" s="8" t="s">
        <v>527</v>
      </c>
      <c r="E181" s="8">
        <v>174</v>
      </c>
    </row>
    <row r="182" spans="4:13">
      <c r="D182" s="8" t="s">
        <v>528</v>
      </c>
      <c r="E182" s="8">
        <f>COUNTIF(C3:C176, "Teacher")</f>
        <v>82</v>
      </c>
    </row>
    <row r="183" spans="4:13">
      <c r="D183" s="8" t="s">
        <v>529</v>
      </c>
      <c r="E183" s="8">
        <f>E181-E182</f>
        <v>92</v>
      </c>
    </row>
  </sheetData>
  <mergeCells count="6">
    <mergeCell ref="F1:M1"/>
    <mergeCell ref="A1:A2"/>
    <mergeCell ref="B1:B2"/>
    <mergeCell ref="C1:C2"/>
    <mergeCell ref="D1:D2"/>
    <mergeCell ref="E1:E2"/>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SubtitleContentTmpl-72724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susan zhou</cp:lastModifiedBy>
  <dcterms:created xsi:type="dcterms:W3CDTF">2026-03-17T09:34:58Z</dcterms:created>
  <dcterms:modified xsi:type="dcterms:W3CDTF">2026-05-21T07:46:52Z</dcterms:modified>
</cp:coreProperties>
</file>