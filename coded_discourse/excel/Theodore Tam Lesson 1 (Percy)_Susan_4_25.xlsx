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urtle/课内相关/京师人/学业/各种项目/2026上半年陶瓷/ChenGaowei/4.14编码任务/"/>
    </mc:Choice>
  </mc:AlternateContent>
  <xr:revisionPtr revIDLastSave="0" documentId="13_ncr:1_{91050254-3B7E-FE42-A8B5-023EACDD0FBB}" xr6:coauthVersionLast="47" xr6:coauthVersionMax="47" xr10:uidLastSave="{00000000-0000-0000-0000-000000000000}"/>
  <bookViews>
    <workbookView xWindow="-51200" yWindow="-2460" windowWidth="51200" windowHeight="2880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9" i="1" l="1"/>
  <c r="G99" i="1"/>
  <c r="H99" i="1"/>
  <c r="I99" i="1"/>
  <c r="J99" i="1"/>
  <c r="K99" i="1"/>
  <c r="L99" i="1"/>
  <c r="M99" i="1"/>
  <c r="E104" i="1"/>
  <c r="E10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3" i="1"/>
  <c r="E100" i="1" l="1"/>
  <c r="E99" i="1"/>
  <c r="E101" i="1" l="1"/>
</calcChain>
</file>

<file path=xl/sharedStrings.xml><?xml version="1.0" encoding="utf-8"?>
<sst xmlns="http://schemas.openxmlformats.org/spreadsheetml/2006/main" count="399" uniqueCount="320">
  <si>
    <t>1</t>
  </si>
  <si>
    <t>2</t>
  </si>
  <si>
    <t>3</t>
  </si>
  <si>
    <t>4</t>
  </si>
  <si>
    <t>5</t>
  </si>
  <si>
    <t>6</t>
  </si>
  <si>
    <t>7</t>
  </si>
  <si>
    <t>8</t>
  </si>
  <si>
    <t>9</t>
  </si>
  <si>
    <t>10</t>
  </si>
  <si>
    <t>11</t>
  </si>
  <si>
    <t>Student A</t>
  </si>
  <si>
    <t>12</t>
  </si>
  <si>
    <t>14</t>
  </si>
  <si>
    <t>15</t>
  </si>
  <si>
    <t>Student B</t>
  </si>
  <si>
    <t>16</t>
  </si>
  <si>
    <t>17</t>
  </si>
  <si>
    <t>18</t>
  </si>
  <si>
    <t>19</t>
  </si>
  <si>
    <t>20</t>
  </si>
  <si>
    <t>21</t>
  </si>
  <si>
    <t>22</t>
  </si>
  <si>
    <t>23</t>
  </si>
  <si>
    <t>24</t>
  </si>
  <si>
    <t>25</t>
  </si>
  <si>
    <t>26</t>
  </si>
  <si>
    <t>Ss</t>
  </si>
  <si>
    <t>27</t>
  </si>
  <si>
    <t>Teacher</t>
  </si>
  <si>
    <t>(group work)</t>
  </si>
  <si>
    <t>Yeah.</t>
  </si>
  <si>
    <t>Aiden</t>
  </si>
  <si>
    <t>(incoherent)</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</si>
  <si>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</si>
  <si>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</si>
  <si>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</si>
  <si>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</si>
  <si>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</si>
  <si>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</si>
  <si>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</si>
  <si>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</si>
  <si>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</si>
  <si>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</si>
  <si>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</si>
  <si>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</si>
  <si>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</si>
  <si>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</si>
  <si>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</si>
  <si>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</si>
  <si>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</si>
  <si>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</si>
  <si>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</si>
  <si>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</si>
  <si>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</si>
  <si>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</si>
  <si>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</si>
  <si>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</si>
  <si>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</si>
  <si>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</si>
  <si>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</si>
  <si>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</si>
  <si>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</si>
  <si>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</si>
  <si>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</si>
  <si>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</si>
  <si>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</si>
  <si>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</si>
  <si>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</si>
  <si>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</si>
  <si>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</si>
  <si>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</si>
  <si>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</si>
  <si>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</si>
  <si>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</si>
  <si>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</si>
  <si>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</si>
  <si>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</si>
  <si>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</si>
  <si>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</si>
  <si>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</si>
  <si>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</si>
  <si>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</si>
  <si>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</si>
  <si>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</si>
  <si>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</si>
  <si>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</si>
  <si>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</si>
  <si>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</si>
  <si>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</si>
  <si>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</si>
  <si>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</si>
  <si>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</si>
  <si>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</si>
  <si>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</si>
  <si>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</si>
  <si>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</si>
  <si>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</si>
  <si>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</si>
  <si>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</si>
  <si>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</si>
  <si>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</si>
  <si>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00:00-00:45</t>
  </si>
  <si>
    <t>(chatting, incoherent)</t>
  </si>
  <si>
    <t>Karen's absent again.</t>
  </si>
  <si>
    <t>01:20-01:23</t>
  </si>
  <si>
    <t>01:00-01:20</t>
  </si>
  <si>
    <t>(Receiving the papers)</t>
  </si>
  <si>
    <t>00:45-00:48</t>
  </si>
  <si>
    <t>00:48-00:00</t>
  </si>
  <si>
    <t>01:23-02:04</t>
  </si>
  <si>
    <t>02:04-03:50</t>
  </si>
  <si>
    <t>03:50-04:50</t>
  </si>
  <si>
    <t>Jack</t>
  </si>
  <si>
    <t>There's no dear Mr. something something.</t>
  </si>
  <si>
    <t>There is no dear Mr. something something. So you mean in the proposal?</t>
  </si>
  <si>
    <t>04:50-04:55</t>
  </si>
  <si>
    <t>04:55-04:59</t>
  </si>
  <si>
    <t>04:59-05:00</t>
  </si>
  <si>
    <t>05:00-05:20</t>
  </si>
  <si>
    <t>05:20-05:22</t>
  </si>
  <si>
    <t>05:22-05:40</t>
  </si>
  <si>
    <t>05:40-05:42</t>
  </si>
  <si>
    <t>05:42-05:44</t>
  </si>
  <si>
    <t>Yours.</t>
  </si>
  <si>
    <t>Would you speak up a little bit?</t>
  </si>
  <si>
    <t>The headings.</t>
  </si>
  <si>
    <t>Marcus</t>
  </si>
  <si>
    <t>05:44-05:45</t>
  </si>
  <si>
    <t>The title.</t>
  </si>
  <si>
    <t>05:59-06:00</t>
  </si>
  <si>
    <t>05:45-05:59</t>
  </si>
  <si>
    <t>Good morning, Mr. Tam.</t>
  </si>
  <si>
    <t>State the background why you are writing the proposal.</t>
  </si>
  <si>
    <t>Jadus</t>
  </si>
  <si>
    <t>06:00-06:34</t>
  </si>
  <si>
    <t>06:34-06:40</t>
  </si>
  <si>
    <t>06:40-06:55</t>
  </si>
  <si>
    <t>You could persuade the higher-ups with these (incoherent)</t>
  </si>
  <si>
    <t>Zachary</t>
  </si>
  <si>
    <t>I thought that's the last paragraph. Like in the last paragraph, we would persuade the higher-ups to accept the proposal. But how about the last line of the first paragraph? Alvin.</t>
  </si>
  <si>
    <t>Alvin</t>
  </si>
  <si>
    <t>Tell the reader that what will be told in the following paragraphs.</t>
  </si>
  <si>
    <t>06:55-07:05</t>
  </si>
  <si>
    <t>07:05-07:18</t>
  </si>
  <si>
    <t>07:18-07:25</t>
  </si>
  <si>
    <t>07:25-08:25</t>
  </si>
  <si>
    <t>08:25-08:26</t>
  </si>
  <si>
    <t>Could</t>
  </si>
  <si>
    <t>Yes</t>
  </si>
  <si>
    <t>08:26-10:58</t>
  </si>
  <si>
    <t>10:58-10:59</t>
  </si>
  <si>
    <t>10:59-11:55</t>
  </si>
  <si>
    <t>11:55-12:37</t>
  </si>
  <si>
    <t>12:47-12:55</t>
  </si>
  <si>
    <t>12:55-13:01</t>
  </si>
  <si>
    <t>Uh… Introduction and concerns?</t>
  </si>
  <si>
    <t>Okay, we've had enough time to just have a quick look at your questions. Now the first one, 2013 question four. Private school bus operators following safety procedures.One paragraph has an introduction and then? Aidan?</t>
  </si>
  <si>
    <t>Okay, introduction and then concerns.</t>
  </si>
  <si>
    <t>And then recommendations.</t>
  </si>
  <si>
    <t>Three.</t>
  </si>
  <si>
    <t>13:01-13:04</t>
  </si>
  <si>
    <t>13:04-13:08</t>
  </si>
  <si>
    <t>13:08-13:11</t>
  </si>
  <si>
    <t>13:11-13:13</t>
  </si>
  <si>
    <t>Recommendations? How many of them?</t>
  </si>
  <si>
    <t>One paragraph to explain on the number of these people arriving in Hong Kong. I think two to three paragraphs for suggestions.</t>
  </si>
  <si>
    <t>13:13-13:56</t>
  </si>
  <si>
    <t>13:56-14:13</t>
  </si>
  <si>
    <t>14:13-14:32</t>
  </si>
  <si>
    <t>Bernice</t>
  </si>
  <si>
    <t>14:32-14:39</t>
  </si>
  <si>
    <t>Wilson</t>
  </si>
  <si>
    <t>Now, that's what Bernice suggested. She said, first of all, we will have one paragraph on a course, or maybe the courses in general, and then there would be two to three paragraphs on the suggestions. Do we have any alternatives to this? Because I can imagine some alternatives, Wilson.</t>
  </si>
  <si>
    <t>I just do-- one paragraph or two paragraphs for the causes.</t>
  </si>
  <si>
    <t>Two paragraphs for the causes. So it could be like alternatively. Could be cause, like that.And then?</t>
  </si>
  <si>
    <t>Then suggestions, Two or three.</t>
  </si>
  <si>
    <t>Two or three?</t>
  </si>
  <si>
    <t>Two.</t>
  </si>
  <si>
    <t>14:39-14:49</t>
  </si>
  <si>
    <t>14:49-14:55</t>
  </si>
  <si>
    <t>14:55-14:58</t>
  </si>
  <si>
    <t>14:59-15:00</t>
  </si>
  <si>
    <t>15:00-15:02</t>
  </si>
  <si>
    <t>15:02-15:08</t>
  </si>
  <si>
    <t>Okay. Damian, do you agree with Wilson or Bernice?</t>
  </si>
  <si>
    <t>Wilson.</t>
  </si>
  <si>
    <t>With both of them?</t>
  </si>
  <si>
    <t>Damian</t>
  </si>
  <si>
    <t>15:08-15:09</t>
  </si>
  <si>
    <t>15:09-15:10</t>
  </si>
  <si>
    <t>15:10-15:11</t>
  </si>
  <si>
    <t>I think it should balance out the cause of the suggestion.</t>
  </si>
  <si>
    <t>Wilson. Okay. Why is that?</t>
  </si>
  <si>
    <t>15:11-15:13</t>
  </si>
  <si>
    <t>15:15-16:41</t>
  </si>
  <si>
    <t>16:41-16:54</t>
  </si>
  <si>
    <t>17:12-17:17</t>
  </si>
  <si>
    <t>Two benefits and Two challenges.</t>
  </si>
  <si>
    <t>16:54-17:12</t>
  </si>
  <si>
    <t>So how do we organize the paragraphs? So after the introduction, then we talk about what?</t>
  </si>
  <si>
    <t>Kate</t>
  </si>
  <si>
    <t>One benefit.</t>
  </si>
  <si>
    <t>One benefit. Okay, now let's write that down first. One benefit. And then?</t>
  </si>
  <si>
    <t>One challenge.</t>
  </si>
  <si>
    <t>And? Two ways. Any alternatives? Victor.</t>
  </si>
  <si>
    <t>17:17-17:26</t>
  </si>
  <si>
    <t>17:26-17:27</t>
  </si>
  <si>
    <t>17:27-17:33</t>
  </si>
  <si>
    <t>17:33-17:38</t>
  </si>
  <si>
    <t>17:38-17:45</t>
  </si>
  <si>
    <t>I was thinking the same.</t>
  </si>
  <si>
    <t>Three?</t>
  </si>
  <si>
    <t>17:45-17:54</t>
  </si>
  <si>
    <t>17:54-19:36</t>
  </si>
  <si>
    <t>19:36-19:37</t>
  </si>
  <si>
    <t>19:37-21:05</t>
  </si>
  <si>
    <t>21:05-21:15</t>
  </si>
  <si>
    <t>First, explain the reason why and read other paragraphs for metrics.</t>
  </si>
  <si>
    <t>Victor</t>
  </si>
  <si>
    <t>Elvis</t>
  </si>
  <si>
    <t>Kyrie</t>
  </si>
  <si>
    <t>21:15-23:07</t>
  </si>
  <si>
    <t>23:07-25:37</t>
  </si>
  <si>
    <t>25:37-25:53</t>
  </si>
  <si>
    <t>25:53-26:33</t>
  </si>
  <si>
    <t>One more minute to read and then I will expect you to tell me what the distinguishing feature of the better paragraph is. And what's the problem with the other one?</t>
  </si>
  <si>
    <t>26:33-27:35</t>
  </si>
  <si>
    <t>27:35-27:36</t>
  </si>
  <si>
    <t>I think the first one</t>
  </si>
  <si>
    <t>You think the first one is better, so exhibit A. How about Alvin?</t>
  </si>
  <si>
    <t>Exhibit B.</t>
  </si>
  <si>
    <t>B is better. Okay. And how about Albert?</t>
  </si>
  <si>
    <t>Exhibit B. And Sam?</t>
  </si>
  <si>
    <t>B.</t>
  </si>
  <si>
    <t>Albert</t>
  </si>
  <si>
    <t>Sam</t>
  </si>
  <si>
    <t>27:36-27:49</t>
  </si>
  <si>
    <t>27:49-27:51</t>
  </si>
  <si>
    <t>27:51-27:55</t>
  </si>
  <si>
    <t>27:55-27:56</t>
  </si>
  <si>
    <t>27:56-27:59</t>
  </si>
  <si>
    <t>27:59-28:00</t>
  </si>
  <si>
    <t>B. Now, perhaps Lucas, you could explain to me why Exhibit A is better first before we move on to B. Now, Exhibit A. Right now on the board.</t>
  </si>
  <si>
    <t>Exhibit A talks more about like...</t>
  </si>
  <si>
    <t>Exhibit A, the focus is on STEM and how it affects people. But Exhibit B, it's about problem solving mostly. And STEM isn't really involved in that.</t>
  </si>
  <si>
    <t>Just speak up a little.</t>
  </si>
  <si>
    <t>Lucas</t>
  </si>
  <si>
    <t>28:00-28:18</t>
  </si>
  <si>
    <t>28:18-28:23</t>
  </si>
  <si>
    <t>23:23-28:26</t>
  </si>
  <si>
    <t>28:26-28:39</t>
  </si>
  <si>
    <t>Exhibit A is too broad on STEM. It’s like a talk on everything about STEM, but Exhibit B is more specific on a point about STEM and in this exhibit it should be the use of cutting utensils. I think, you know, like environmental protection.</t>
  </si>
  <si>
    <t>Environmental protection. I think environmental protection is also part of STEM because we have the environment being under science. Right? So it would still be on topic. And Albert was saying that the difference between Exhibit B is that Exhibit B contains a specific application of STEM, whereas Exhibit A is a very general overview of, you know, maybe a talk on general STEM issues. But there isn't much detail about what kind of STEM will be learned by the students, right? So which person do we agree with? since they won't have very good English. Who's going to give the verdict? Leon. Which one do you agree with?</t>
  </si>
  <si>
    <t>28:39-29:02</t>
  </si>
  <si>
    <t>29:02-29:22</t>
  </si>
  <si>
    <t>29:22-30:09</t>
  </si>
  <si>
    <t>30:09-30:10</t>
  </si>
  <si>
    <t>Albert.</t>
  </si>
  <si>
    <t>Leon</t>
  </si>
  <si>
    <t>Student C</t>
  </si>
  <si>
    <t>30:10-37:07</t>
  </si>
  <si>
    <t>37:07-37:08</t>
  </si>
  <si>
    <t>37:08:37-19</t>
  </si>
  <si>
    <t>37:19-37:26</t>
  </si>
  <si>
    <t>37:26-37:28</t>
  </si>
  <si>
    <t>37:28-37:29</t>
  </si>
  <si>
    <t>37:29-37:31</t>
  </si>
  <si>
    <t>37:31-37:34</t>
  </si>
  <si>
    <t>What about 1:30 to 4:30.</t>
  </si>
  <si>
    <t>1:45, I guess we need time for lunch. 1:45 to 4:45. So we all keep our presentations around 5 minutes or so. It will be great.</t>
  </si>
  <si>
    <t>For the actual SP presentations, is it going to be in class number order or is it going to be random?</t>
  </si>
  <si>
    <t>Random. You want to be the second to do it?</t>
  </si>
  <si>
    <t>No, no.</t>
  </si>
  <si>
    <t>No, no, no.</t>
  </si>
  <si>
    <t>I can grant that request.</t>
  </si>
  <si>
    <t>39:03-39:15</t>
  </si>
  <si>
    <t>Goodbye and thank you Mr. Tam. (incoherent)</t>
  </si>
  <si>
    <t>Okay. And then, so next week, we will have our life back. I will have my lessons back. Then one of the days we'll do one more reading as a revision for the midterm test because the midterm test, 90 minutes will be reading only. Okay. I think the paper is of normal level of difficulty, whereas form 4 is high. I told the person to make it harder, form 4, because they saw too high in the first term, we underestimated. So they're all of them are like 150, 160, 170. So that's too high. That's why I told them, well, we need to make it harder for form 4. And then for form 5, they're stronger. So don't worry. But the midterm test is actually quite heavy in terms of the overall weight because the midterm test is one paper, 25% of the overall grade, right? Whereas in the exam, it's 50%, and then out of the 50%, the reading is 25%. So if you do the math, it is actually much lighter, the second-term exam. So hopefully, we will be able to prepare well. Okay? Any questions? Stand up. Goodbye class.</t>
  </si>
  <si>
    <t>37:34-39:03</t>
  </si>
  <si>
    <t>word</t>
    <phoneticPr fontId="3" type="noConversion"/>
  </si>
  <si>
    <t>APT moves</t>
    <phoneticPr fontId="3" type="noConversion"/>
  </si>
  <si>
    <t>Say more(T3)</t>
  </si>
  <si>
    <t>Revoice(T1)</t>
  </si>
  <si>
    <t>Press for reasoning(T2)</t>
  </si>
  <si>
    <t>Challenge(T4)</t>
  </si>
  <si>
    <t>Restate(1678976054)</t>
  </si>
  <si>
    <t>Agree/Disagree(1678976089)</t>
  </si>
  <si>
    <t>Add on(1678976097)</t>
  </si>
  <si>
    <t>Explain others(T5)</t>
  </si>
  <si>
    <t>Number</t>
    <phoneticPr fontId="3" type="noConversion"/>
  </si>
  <si>
    <t>Timestamp</t>
    <phoneticPr fontId="3" type="noConversion"/>
  </si>
  <si>
    <t>Speaker</t>
    <phoneticPr fontId="3" type="noConversion"/>
  </si>
  <si>
    <t>Utterance</t>
    <phoneticPr fontId="3" type="noConversion"/>
  </si>
  <si>
    <t>Teachers' total words</t>
  </si>
  <si>
    <t>Students' total words</t>
  </si>
  <si>
    <t>Total turns</t>
  </si>
  <si>
    <t>No. of teachers' turn</t>
  </si>
  <si>
    <t>No. of students' turn</t>
  </si>
  <si>
    <t>Sum</t>
    <phoneticPr fontId="3" type="noConversion"/>
  </si>
  <si>
    <t>What are you trying to do? It's already, I have already started. Yeah, so we reported what Albert said just now about the study leave and so on. Stand up. Good morning, class.</t>
    <phoneticPr fontId="3" type="noConversion"/>
  </si>
  <si>
    <t>Please be seated. As we all know, we are being recorded now, but, you know, there are a few reminders. First, if you have not filled out the questionnaire, you should, okay? Have you all filled out the questionnaire? I think you did yesterday. It’s quite long. And then the second thing is, later on, if I ask you a question and you respond, please make sure you speak loudly enough for the camera to hear, okay? Number three, we'll just carry on, so no fancy things. Now, first of all, I'd like to return to you your writing. I'm sure you have already spent time reading the feedback and the corrections. So we will just dive right into the feedback in order to save time. Okay?</t>
    <phoneticPr fontId="3" type="noConversion"/>
  </si>
  <si>
    <t>So I've just also returned to you the question paper, and Vince you got it right? The three questions, all of which were attempted, but I believe that the performance was perhaps below your expectation, and also slightly below my expectation. Now, there were a few problems. First, can somebody tell me what the difference between a proposal and a formal letter is? Now, this time we have to write a proposal. In the first term, we wrote a formal letter. And in a formal letter, we might be asked to give suggestions, right? So can you tell me what the major difference is between these two genres, like formal letter to give suggestions and proposal? Can you tell me what the main differences are, because there are quite a few of you who were confused by this. Can somebody tell me? Maybe Jack give me one difference.</t>
    <phoneticPr fontId="3" type="noConversion"/>
  </si>
  <si>
    <t>Okay, so first of all, in the proposal, we don't need the dear sir or madam. And therefore we don't need what either. So we don't need the DSR at the beginning and we don't need the at the end.What's that at the end?</t>
    <phoneticPr fontId="3" type="noConversion"/>
  </si>
  <si>
    <t>Yours sincerely or in this case yours faithfully. So all these wouldn't be required. But in their place, what would be required? Marcus, so without these in a proposal. What are the formatting features that are necessary?</t>
    <phoneticPr fontId="3" type="noConversion"/>
  </si>
  <si>
    <t>The headings.The headings. So the headings would be like the labels for the suggestions, right? Right?And then how about the very beginning of the proposal?</t>
    <phoneticPr fontId="3" type="noConversion"/>
  </si>
  <si>
    <t>So, the formatting requirements must be observed. Okay, the formatting requirements must be observed. That's the first thing. And how about, do we use I in proposals? So how could we start the proposal then without the I? Because some of you wrote that I am writing to you. So how might that be? Like how might we start the proposal, Jadus?</t>
    <phoneticPr fontId="3" type="noConversion"/>
  </si>
  <si>
    <t>So we state the background, and then there is that key element at the end of the first paragraph.Does anybody remember? Zachary? The very last line of the first paragraph, what would we normally do?</t>
    <phoneticPr fontId="3" type="noConversion"/>
  </si>
  <si>
    <t>Tell the reader what would be told. So basically, do you mean outlining the content of the proposal? Yes. So we don't need Is in a proposal. You could use we if you want to refer to the organization, but the most essential element is that in the first paragraph, as Jadus said, we would give the background, and as Alvin said, we would give the outline of the proposal. So these are the essential formatting or stylistic requirements in a proposal. But in many cases, because of an oversight, in terms of the text type, you were not able to take all these boxes. One more thing about proposals. So we need to give suggestions, right? What are your best friends when it comes to giving suggestions? What are some modal verbs that you might want to use.</t>
    <phoneticPr fontId="3" type="noConversion"/>
  </si>
  <si>
    <t>Could, would, right? Now look at your script and see whether that's being used consistently. If you look at the green marks and you find that very often, I wrote could or would, and that means you might have forgotten that. So, in a proposal or actually also in a formal letter, we need to have could, would, might, like these are the more polite modal verbs in giving suggestions. And also, the usage of the word suggest. Remember? So we suggest and then we should not have the word to after suggest. Remember? So, we would say we suggest that our talk be arranged. So just a revision of how we use the word suggest. Okay? So, these are the basics in proposal writing. But how about the actual questions? Now, before we go back to the questions that we did for the assessment, perhaps it's a good time to also look at some past DSE questions and we think about the overall structure of these particular questions. Because if you look at the question, questions one to three on the assessment paper, you will see that the first one, STEM education, we suggest three STEM education programs that may be carried out and explain how these might benefit students and the school. But the structure might be slightly different in question two, right? We have to suggest one or two trends popular with young people. Explain how you would present these trends and justify the way you try to present these ideas. So my question for you is, in handling these problem-solution questions. How many paragraphs do we need for what? Now, we have to decide on these on a case-by-case basis. Like, there is no rule, but you have to look at what is required in the question and consider it accordingly. So, perhaps right now, you could take a minute to look at... You could look at the questions in a minute Can we read? Can you see that from a distance, Aidan?</t>
    <phoneticPr fontId="3" type="noConversion"/>
  </si>
  <si>
    <t>Now look at these three questions, maybe just the three questions. And tell me, after the introduction and excluding the conclusion at the end, how would you structure the whole text? Like paragraph two would be what? Paragraph three would be what? Or how many paragraphs on what? You know what I'm saying? So take a minute to think. For example, the first one, private school bus operators, express your concerns and give three recommendations. And then 2017, write a report to explain why and suggest what can be done. 2019, explain blah, blah, blah, and then ways. So what I want you to tell me in a minute is how many paragraphs on what, okay? Because we need to develop that awareness immediately when we look at the question. We need to know that.</t>
    <phoneticPr fontId="3" type="noConversion"/>
  </si>
  <si>
    <t>So, in total for 2013 question four, we would have one paragraph on the concerns and three paragraphs on the recommendations. Do we agree with Zachary? Okay, now, so this is like one plus three, then we have four body paragraphs in the middle. How about 2017 question seven? It is about Yeah, like teenagers who are not in education, employment, or training, basically those who lounge around. So, write a report to explain why these people, the number of these people is rising and suggest what can be done to help these youths. So how many paragraphs on which aspects of the question? Bernice.</t>
    <phoneticPr fontId="3" type="noConversion"/>
  </si>
  <si>
    <t xml:space="preserve">Now, Damian said that, you know, we have to balance, have a balanced coverage of the points. That's a very valid point. But then I think Bernice's idea is equally fine. It would work out. So either, in this case, we might have one paragraph on the general causes, and then we would have two to three paragraphs on the suggestions. But if I were a candidate, I would follow Wilson and Damien's lead. I would have one cause, two causes, and then one suggestion that corresponds to the first cause, the second suggestion corresponding to the second cause. You see what I'm saying? Then we would have four body paragraphs in the middle. Now finally, for 2019 question number two, 2019 question number two, it's on international talent coming to Hong Kong to work. So, explain some of the benefits and challenges international talent brings to Hong Kong society and ways to ensure that people from the local community are not neglected, so more complicated. How do we organize the paragraphs? Kate, can we see? </t>
    <phoneticPr fontId="3" type="noConversion"/>
  </si>
  <si>
    <t>What? Two benefits and two challenges. How about ways to ensure that people from the local community are not neglected?</t>
    <phoneticPr fontId="3" type="noConversion"/>
  </si>
  <si>
    <t>You were thinking the same. Good. But how about within that paragraph? Now look at the question. I think by now you have been very well trained by your Chinese teachers to ensure that your compositions stay on topic. Benefits. Challenges. So that means within that single paragraph, you would need to adopt the Bernice approach or the Aiden approach here. So you have more within one paragraph, like shorter. Maybe let's say you would have two benefits within one, the second paragraph, right, with clearer signposting, and then some challenges, so you just touched upon them. Then two suggestions. Then you would make, again, four body paragraphs. So what I'd like to tell you through these, you know, thought experiments is that, you know, when we try to organize the whole article or whole proposal or whatever report or essay, we need to consider the fact that we would write a maximum of four body paragraphs. If the question already specifies the number of suggestions, like three or two, then it makes things easier for you. If it doesn't, then you need to use your judgment to decide whether you'd like to do this, which I believe would be better organized, because you would have suggestions that correspond to the causes, or whether you would do this instead. Now, going back to the questions that you were assigned to do, you see question one, suggest 3 STEM education programs or activities that may be carried out. So, what were we supposed to do? How many paragraphs in the middle? How many? Kyrie?</t>
    <phoneticPr fontId="3" type="noConversion"/>
  </si>
  <si>
    <t>Just the three suggestions. So this is like the most basic. And then, how about number 2? Suggesting one or two trends popular with young people How we would present the trends and justify the way. Now you see that they seem to be asking for a lot of things. They seem to be asking for the trends, how you would present these trends and justify the way you plan to present these ideas. But the way you will present the ideas and justify the way, actually it's the same. Right? So how would we structure that text? So we would have two sections, right? One for trend #1, the other one for trend #2. But if you think that two body paragraphs would be too long, like each of the body paragraphs would be too long, then you could have two paragraphs under one section, like the trend, you describe the trend, and then you describe the way in which you're going to present the idea. Okay? So, it's still four. So, if you understand this rule of thumb, three to four body paragraphs, maximum four, then everything, you know, could come in place, right? And finally, for number three, what is the structure that we need? Proposal to the HR manager, briefly explain, suggest three measures. So very obviously, Elvis, the structure for question three.</t>
    <phoneticPr fontId="3" type="noConversion"/>
  </si>
  <si>
    <t xml:space="preserve">So, first paragraph explaining the causes of the brain drain. I was surprised that not many of you use this phrase, brain drain. Brain drain as in those people with brains are leaving. So this would refer to a company's situation or a country's situation. Now, and then plus three. So in a nutshell, for question one, you just need three body paragraphs. For question two, it would be two sections times two, if I were to write it. Okay? Question three, one and then three. Okay? So, by the time you do these kinds of writing questions again, you need to have developed that ability to immediately tell how many paragraphs for what.in order to get the structure right. And don't be distracted by things like justify the way you plan to present your ideas or first question, explain how students may benefit. That should be under the suggestions themselves. So with that said, let me give you two paragraphs from your friends and we'll see what you could figure out from these. Maybe you'll recognize one of the paragraphs as being your role. Now, the question is very simple. The question I have for you. You look at the two body paragraphs quickly and tell me which one's better and what the distinguishing feature of the better paragraph. Okay? So have a quick look in three minutes. </t>
    <phoneticPr fontId="3" type="noConversion"/>
  </si>
  <si>
    <t>Okay, before we talk about this, I need to, perhaps I should tell you that I have uploaded two pieces of exemplary work to one note. Actually, the people who scored the highest marks this time were Albert and Zachary who scored 18. But both of them worked on question number three on the back. So for question one, I have selected Lucas' work. He got 16 marks. And then for question three, for a change, no Albert, Zachary’s sample has been selected. So you could see how well he wrote his work. But then the two paragraphs were not written by either Albert or Zachary or Lucas, so not these people. Now, can somebody tell me which exhibit, like exhibit A or exhibit B, imagine being in a museum, huh? Which one is the better one? I'll ask a few of you. Wilson, which one's better?</t>
    <phoneticPr fontId="3" type="noConversion"/>
  </si>
  <si>
    <t>So Exhibit A, according to Wilson, is about STEM and how it affects people. And Exhibit B, he said, is related to problem solving, but not STEM. Now, did I summarize that correctly, Wilson? That's what he said. How about those who believe that Exhibit B is better? Maybe Albert.</t>
    <phoneticPr fontId="3" type="noConversion"/>
  </si>
  <si>
    <t>Albert. Do you have the same reasons? Okay, so the reason is that Exhibit B is more specific. Now, Exhibit A was written by Marcus Tong. Exhibit B, Michelle. Now, Michelle, has scored higher. So I suppose my take is that Michelle did better. And if we look at Exhibit A carefully, you'll see, now let's look at, let's try to analyze Marcus's masterpiece. Now Marcus wrote, and you look very embarrassed now, a taught by STEM professionals could be held during a school assembly. Okay? Still five, remember we talked about the general suggestion and then rationale and specific suggestions, and finally the length or the effect. And I mentioned that we need a lot of specific ideas. So, let's look at whether Marcus could tick all the boxes. It is vital to learn about how STEM changes our society nowadays. Rationale. The school could invite an alumnus, more than one alumni who work in STEM fields, they could give speeches to students about STEM in the workplace, how technology changes the society, and even information related to AI, specific. And then, he goes on, students could have a brief understanding of technology and how science and technology are utilized in our workplace. So, same, right? It's exactly the same as what he has already said. Students could choose their career path wisely and start in… Have a head start in career preparation. After the talk, students can stay behind and interact with the professional. So, we have quite a lot of effects as well. In terms of the structure, he does tick the boxes. So, it is not really about not organizing the paragraph well. But how about the content? Remember, I told you about that little experiment. You try to replace the stem with other things. Let's say geography, okay? A talk by geography professionals to be held during school assembly. It is vital to learn about how geography is affecting our society, okay? The school could invite an alumnus who works in geography, okay? They could give speeches to students about the popularity of geography at university, how geography might change the society, okay? And even information related to geotechnology, I don't know, I don't know what I'm talking about, okay? Students could have a head start in career preparation and they could choose their career path wisely. They also know how geography is utilized in our daily life. They can also ask questions about geography with the expert at the end. What am I trying to say? If your paragraph is so generic to the point where I could replace the keyword and the whole paragraph still makes perfect sense, you will not make any sense. Okay? So, this one, unfortunately, it's just a four in content despite it being five in organization. Okay? Because you could have three paragraphs like that, but nothing related to STEM. Okay? Sorry about that, Mr. Tong. Now, exhibit B, the same structure is being followed, right? We have a problem-solving workshop. Now, even though, at first glance, it might not be immediately relevant to STEM, later on, we see that for the problem-solving workshop, we need scientific knowledge. So, it is addressing the question, and then a little bit of descriptions on how that kind of problem solving differs from traditional classroom learning. Then, how we're going to run it. Now, by putting students into several groups, so on. The thing is, we are focusing too much, some of you, focusing too much on what we call procedural details, like you would ask questions, it will be held in the grand hall. You know, we will put the students in groups of three. Those are fine, provided that we have the details related to the topic. So, then the details, okay. For instance, environmental protection is a significant topic. So maybe one of the problems that they will have to solve is how to, you know, be green, but at the same time, develop some sort of utensils that could actually be used to drink soup, right? Not paper, spoons, and forks. Right? What kind of material? So you see, there are some procedural details about how many students in the group, who's going to assist, what kind of guests we're going to invite. But then at the core, we do have a specific strand or aspect of STEM that is being addressed in the paragraph. Then you do it three times if you want to do question one well. Then that would be 666 or above. Okay? But if it is Exhibit A, then we could always have the same ideas, talks. They can learn about STEM, they can ask questions about STEM. Game booths, they can learn STEM in a fun way, right? They will learn, it's suitable for junior secondary kids, but that's all, right? Talks, workshops, game booths. So we want to stand out from the pack with specific ideas like Michelle's. Okay? Do we have any questions? What's the time? I want to know whether I manage my time well. Yeah, I still got 3 minutes. Let's talk about the plan for, you know, before the midterm test. Now tomorrow we'll complete the SBA. We have nine more to do. And you know, for seeing the actual SBA, I think on the 27th of April when we do the actual SBA, we will start at 1.45 and finish by 4.45. Okay? That means I'll have to hold it for three hours. You can only leave when everybody else has done the SBA so you could maybe cancel in that day, 27th of April for the SBA. And I hope by the time I go to the 20th presentation, I will not have lost my temper. Okay? I hope you will do better in the actual than the trial, huh? So tomorrow we will finish the rest of the trials. If you notice, if you are a perennial OneNote refresher, then you will notice a few new things. First, the predicted grade. Second, a page called trial reflections. And that page, trial reflections, actually contains a link to your video, if you have already presented. So your homework next week, you don't have to do it over the weekend, because I'm not sure whether the guys will be able to upload the videos for tomorrow, so soon. Anyway, your homework later will be to watch your own video and write a reflection. Yes?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</si>
</sst>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等线"/>
      <family val="2"/>
      <scheme val="minor"/>
    </font>
    <font>
      <sz val="12"/>
      <color indexed="8"/>
      <name val="Times New Roman"/>
      <family val="1"/>
    </font>
    <font>
      <b/>
      <sz val="12"/>
      <color rgb="FF000000"/>
      <name val="Calibri"/>
      <family val="2"/>
    </font>
    <font>
      <sz val="9"/>
      <name val="等线"/>
      <family val="3"/>
      <charset val="134"/>
      <scheme val="minor"/>
    </font>
    <font>
      <b/>
      <sz val="12"/>
      <color theme="1"/>
      <name val="Calibri"/>
      <family val="2"/>
    </font>
    <font>
      <sz val="11"/>
      <color indexed="8"/>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xf numFmtId="20" fontId="1" fillId="0" borderId="0" xfId="0" applyNumberFormat="1" applyFont="1"/>
    <xf numFmtId="49" fontId="1" fillId="0" borderId="0" xfId="0" applyNumberFormat="1" applyFont="1"/>
    <xf numFmtId="0" fontId="2" fillId="0" borderId="0" xfId="0" applyFont="1" applyAlignment="1">
      <alignment horizontal="center" vertical="center"/>
    </xf>
    <xf numFmtId="0" fontId="4" fillId="0" borderId="0" xfId="0" applyFont="1" applyAlignment="1">
      <alignment horizontal="center"/>
    </xf>
    <xf numFmtId="0" fontId="4" fillId="0" borderId="0" xfId="0" applyFont="1"/>
    <xf numFmtId="0" fontId="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7"/>
  <sheetViews>
    <sheetView tabSelected="1" zoomScale="114" zoomScaleNormal="204" workbookViewId="0">
      <pane ySplit="2" topLeftCell="A45" activePane="bottomLeft" state="frozen"/>
      <selection pane="bottomLeft" activeCell="I92" sqref="I92"/>
    </sheetView>
  </sheetViews>
  <sheetFormatPr baseColWidth="10" defaultColWidth="9.1640625" defaultRowHeight="16"/>
  <cols>
    <col min="1" max="1" width="9.1640625" style="4"/>
    <col min="2" max="2" width="12.1640625" style="2" customWidth="1"/>
    <col min="3" max="3" width="9.1640625" style="2"/>
    <col min="4" max="4" width="38.1640625" style="2" customWidth="1"/>
    <col min="5" max="16384" width="9.1640625" style="2"/>
  </cols>
  <sheetData>
    <row r="1" spans="1:13">
      <c r="A1" s="5" t="s">
        <v>290</v>
      </c>
      <c r="B1" s="5" t="s">
        <v>291</v>
      </c>
      <c r="C1" s="5" t="s">
        <v>292</v>
      </c>
      <c r="D1" s="5" t="s">
        <v>293</v>
      </c>
      <c r="E1" s="5" t="s">
        <v>280</v>
      </c>
      <c r="F1" s="6" t="s">
        <v>281</v>
      </c>
      <c r="G1" s="6"/>
      <c r="H1" s="6"/>
      <c r="I1" s="6"/>
      <c r="J1" s="6"/>
      <c r="K1" s="6"/>
      <c r="L1" s="6"/>
      <c r="M1" s="6"/>
    </row>
    <row r="2" spans="1:13">
      <c r="A2" s="5"/>
      <c r="B2" s="5"/>
      <c r="C2" s="5"/>
      <c r="D2" s="5"/>
      <c r="E2" s="5"/>
      <c r="F2" s="7" t="s">
        <v>282</v>
      </c>
      <c r="G2" s="7" t="s">
        <v>283</v>
      </c>
      <c r="H2" s="7" t="s">
        <v>284</v>
      </c>
      <c r="I2" s="7" t="s">
        <v>285</v>
      </c>
      <c r="J2" s="7" t="s">
        <v>286</v>
      </c>
      <c r="K2" s="7" t="s">
        <v>287</v>
      </c>
      <c r="L2" s="7" t="s">
        <v>288</v>
      </c>
      <c r="M2" s="7" t="s">
        <v>289</v>
      </c>
    </row>
    <row r="3" spans="1:13">
      <c r="A3" s="4" t="s">
        <v>0</v>
      </c>
      <c r="B3" s="2" t="s">
        <v>102</v>
      </c>
      <c r="C3" s="2" t="s">
        <v>27</v>
      </c>
      <c r="D3" s="2" t="s">
        <v>103</v>
      </c>
      <c r="E3" s="2">
        <f>LEN(D3)-LEN(SUBSTITUTE(D3," ",""))+1</f>
        <v>2</v>
      </c>
    </row>
    <row r="4" spans="1:13">
      <c r="A4" s="4" t="s">
        <v>1</v>
      </c>
      <c r="B4" s="2" t="s">
        <v>108</v>
      </c>
      <c r="C4" s="2" t="s">
        <v>29</v>
      </c>
      <c r="D4" s="1" t="s">
        <v>104</v>
      </c>
      <c r="E4" s="2">
        <f t="shared" ref="E4:E67" si="0">LEN(D4)-LEN(SUBSTITUTE(D4," ",""))+1</f>
        <v>3</v>
      </c>
    </row>
    <row r="5" spans="1:13">
      <c r="A5" s="4" t="s">
        <v>2</v>
      </c>
      <c r="B5" s="2" t="s">
        <v>109</v>
      </c>
      <c r="C5" s="2" t="s">
        <v>27</v>
      </c>
      <c r="D5" s="2" t="s">
        <v>33</v>
      </c>
      <c r="E5" s="2">
        <f t="shared" si="0"/>
        <v>1</v>
      </c>
    </row>
    <row r="6" spans="1:13">
      <c r="A6" s="4" t="s">
        <v>3</v>
      </c>
      <c r="B6" s="2" t="s">
        <v>106</v>
      </c>
      <c r="C6" s="2" t="s">
        <v>29</v>
      </c>
      <c r="D6" s="1" t="s">
        <v>300</v>
      </c>
      <c r="E6" s="2">
        <f t="shared" si="0"/>
        <v>33</v>
      </c>
    </row>
    <row r="7" spans="1:13">
      <c r="A7" s="4" t="s">
        <v>4</v>
      </c>
      <c r="B7" s="2" t="s">
        <v>105</v>
      </c>
      <c r="C7" s="2" t="s">
        <v>27</v>
      </c>
      <c r="D7" s="1" t="s">
        <v>132</v>
      </c>
      <c r="E7" s="2">
        <f t="shared" si="0"/>
        <v>4</v>
      </c>
    </row>
    <row r="8" spans="1:13">
      <c r="A8" s="4" t="s">
        <v>5</v>
      </c>
      <c r="B8" s="2" t="s">
        <v>110</v>
      </c>
      <c r="C8" s="2" t="s">
        <v>29</v>
      </c>
      <c r="D8" s="2" t="s">
        <v>301</v>
      </c>
      <c r="E8" s="2">
        <f t="shared" si="0"/>
        <v>127</v>
      </c>
    </row>
    <row r="9" spans="1:13">
      <c r="A9" s="4" t="s">
        <v>6</v>
      </c>
      <c r="B9" s="2" t="s">
        <v>111</v>
      </c>
      <c r="C9" s="2" t="s">
        <v>27</v>
      </c>
      <c r="D9" s="2" t="s">
        <v>107</v>
      </c>
      <c r="E9" s="2">
        <f t="shared" si="0"/>
        <v>3</v>
      </c>
    </row>
    <row r="10" spans="1:13">
      <c r="A10" s="4" t="s">
        <v>7</v>
      </c>
      <c r="B10" s="2" t="s">
        <v>112</v>
      </c>
      <c r="C10" s="2" t="s">
        <v>29</v>
      </c>
      <c r="D10" s="1" t="s">
        <v>302</v>
      </c>
      <c r="E10" s="2">
        <f t="shared" si="0"/>
        <v>148</v>
      </c>
    </row>
    <row r="11" spans="1:13">
      <c r="A11" s="4" t="s">
        <v>8</v>
      </c>
      <c r="B11" s="2" t="s">
        <v>116</v>
      </c>
      <c r="C11" s="2" t="s">
        <v>113</v>
      </c>
      <c r="D11" s="1" t="s">
        <v>114</v>
      </c>
      <c r="E11" s="2">
        <f t="shared" si="0"/>
        <v>6</v>
      </c>
    </row>
    <row r="12" spans="1:13">
      <c r="A12" s="4" t="s">
        <v>9</v>
      </c>
      <c r="B12" s="2" t="s">
        <v>117</v>
      </c>
      <c r="C12" s="2" t="s">
        <v>29</v>
      </c>
      <c r="D12" s="1" t="s">
        <v>115</v>
      </c>
      <c r="E12" s="2">
        <f t="shared" si="0"/>
        <v>13</v>
      </c>
      <c r="G12" s="2">
        <v>1</v>
      </c>
    </row>
    <row r="13" spans="1:13">
      <c r="A13" s="4" t="s">
        <v>10</v>
      </c>
      <c r="B13" s="2" t="s">
        <v>118</v>
      </c>
      <c r="C13" s="2" t="s">
        <v>113</v>
      </c>
      <c r="D13" s="1" t="s">
        <v>31</v>
      </c>
      <c r="E13" s="2">
        <f t="shared" si="0"/>
        <v>1</v>
      </c>
    </row>
    <row r="14" spans="1:13">
      <c r="A14" s="4" t="s">
        <v>12</v>
      </c>
      <c r="B14" s="2" t="s">
        <v>119</v>
      </c>
      <c r="C14" s="2" t="s">
        <v>29</v>
      </c>
      <c r="D14" s="1" t="s">
        <v>303</v>
      </c>
      <c r="E14" s="2">
        <f t="shared" si="0"/>
        <v>44</v>
      </c>
    </row>
    <row r="15" spans="1:13">
      <c r="A15" s="4">
        <v>13</v>
      </c>
      <c r="B15" s="2" t="s">
        <v>120</v>
      </c>
      <c r="C15" s="2" t="s">
        <v>11</v>
      </c>
      <c r="D15" s="1" t="s">
        <v>124</v>
      </c>
      <c r="E15" s="2">
        <f t="shared" si="0"/>
        <v>1</v>
      </c>
    </row>
    <row r="16" spans="1:13">
      <c r="A16" s="4" t="s">
        <v>13</v>
      </c>
      <c r="B16" s="2" t="s">
        <v>121</v>
      </c>
      <c r="C16" s="2" t="s">
        <v>29</v>
      </c>
      <c r="D16" s="1" t="s">
        <v>304</v>
      </c>
      <c r="E16" s="2">
        <f t="shared" si="0"/>
        <v>37</v>
      </c>
    </row>
    <row r="17" spans="1:12">
      <c r="A17" s="4" t="s">
        <v>14</v>
      </c>
      <c r="B17" s="2" t="s">
        <v>122</v>
      </c>
      <c r="C17" s="2" t="s">
        <v>127</v>
      </c>
      <c r="D17" s="1" t="s">
        <v>126</v>
      </c>
      <c r="E17" s="2">
        <f t="shared" si="0"/>
        <v>2</v>
      </c>
    </row>
    <row r="18" spans="1:12">
      <c r="A18" s="4" t="s">
        <v>16</v>
      </c>
      <c r="B18" s="2" t="s">
        <v>123</v>
      </c>
      <c r="C18" s="2" t="s">
        <v>29</v>
      </c>
      <c r="D18" s="1" t="s">
        <v>125</v>
      </c>
      <c r="E18" s="2">
        <f t="shared" si="0"/>
        <v>7</v>
      </c>
    </row>
    <row r="19" spans="1:12">
      <c r="A19" s="4" t="s">
        <v>17</v>
      </c>
      <c r="B19" s="2" t="s">
        <v>128</v>
      </c>
      <c r="C19" s="2" t="s">
        <v>127</v>
      </c>
      <c r="D19" s="1" t="s">
        <v>126</v>
      </c>
      <c r="E19" s="2">
        <f t="shared" si="0"/>
        <v>2</v>
      </c>
    </row>
    <row r="20" spans="1:12">
      <c r="A20" s="4" t="s">
        <v>18</v>
      </c>
      <c r="B20" s="2" t="s">
        <v>131</v>
      </c>
      <c r="C20" s="2" t="s">
        <v>29</v>
      </c>
      <c r="D20" s="1" t="s">
        <v>305</v>
      </c>
      <c r="E20" s="2">
        <f t="shared" si="0"/>
        <v>25</v>
      </c>
      <c r="L20" s="2">
        <v>1</v>
      </c>
    </row>
    <row r="21" spans="1:12">
      <c r="A21" s="4" t="s">
        <v>19</v>
      </c>
      <c r="B21" s="2" t="s">
        <v>130</v>
      </c>
      <c r="C21" s="2" t="s">
        <v>11</v>
      </c>
      <c r="D21" s="1" t="s">
        <v>129</v>
      </c>
      <c r="E21" s="2">
        <f t="shared" si="0"/>
        <v>2</v>
      </c>
    </row>
    <row r="22" spans="1:12">
      <c r="A22" s="4" t="s">
        <v>20</v>
      </c>
      <c r="B22" s="2" t="s">
        <v>135</v>
      </c>
      <c r="C22" s="2" t="s">
        <v>29</v>
      </c>
      <c r="D22" s="1" t="s">
        <v>306</v>
      </c>
      <c r="E22" s="2">
        <f t="shared" si="0"/>
        <v>62</v>
      </c>
    </row>
    <row r="23" spans="1:12">
      <c r="A23" s="4" t="s">
        <v>21</v>
      </c>
      <c r="B23" s="2" t="s">
        <v>136</v>
      </c>
      <c r="C23" s="2" t="s">
        <v>134</v>
      </c>
      <c r="D23" s="2" t="s">
        <v>133</v>
      </c>
      <c r="E23" s="2">
        <f t="shared" si="0"/>
        <v>9</v>
      </c>
    </row>
    <row r="24" spans="1:12">
      <c r="A24" s="4" t="s">
        <v>22</v>
      </c>
      <c r="B24" s="3" t="s">
        <v>137</v>
      </c>
      <c r="C24" s="2" t="s">
        <v>29</v>
      </c>
      <c r="D24" s="1" t="s">
        <v>307</v>
      </c>
      <c r="E24" s="2">
        <f t="shared" si="0"/>
        <v>35</v>
      </c>
      <c r="L24" s="2">
        <v>1</v>
      </c>
    </row>
    <row r="25" spans="1:12">
      <c r="A25" s="4" t="s">
        <v>23</v>
      </c>
      <c r="B25" s="2" t="s">
        <v>143</v>
      </c>
      <c r="C25" s="2" t="s">
        <v>139</v>
      </c>
      <c r="D25" s="1" t="s">
        <v>138</v>
      </c>
      <c r="E25" s="2">
        <f t="shared" si="0"/>
        <v>8</v>
      </c>
    </row>
    <row r="26" spans="1:12">
      <c r="A26" s="4" t="s">
        <v>24</v>
      </c>
      <c r="B26" s="2" t="s">
        <v>144</v>
      </c>
      <c r="C26" s="2" t="s">
        <v>29</v>
      </c>
      <c r="D26" s="1" t="s">
        <v>140</v>
      </c>
      <c r="E26" s="2">
        <f t="shared" si="0"/>
        <v>31</v>
      </c>
      <c r="L26" s="2">
        <v>1</v>
      </c>
    </row>
    <row r="27" spans="1:12">
      <c r="A27" s="4" t="s">
        <v>25</v>
      </c>
      <c r="B27" s="2" t="s">
        <v>145</v>
      </c>
      <c r="C27" s="2" t="s">
        <v>141</v>
      </c>
      <c r="D27" s="1" t="s">
        <v>142</v>
      </c>
      <c r="E27" s="2">
        <f t="shared" si="0"/>
        <v>12</v>
      </c>
    </row>
    <row r="28" spans="1:12">
      <c r="A28" s="4" t="s">
        <v>26</v>
      </c>
      <c r="B28" s="2" t="s">
        <v>146</v>
      </c>
      <c r="C28" s="2" t="s">
        <v>29</v>
      </c>
      <c r="D28" s="1" t="s">
        <v>308</v>
      </c>
      <c r="E28" s="2">
        <f t="shared" si="0"/>
        <v>139</v>
      </c>
    </row>
    <row r="29" spans="1:12">
      <c r="A29" s="4" t="s">
        <v>28</v>
      </c>
      <c r="B29" s="2" t="s">
        <v>147</v>
      </c>
      <c r="C29" s="2" t="s">
        <v>27</v>
      </c>
      <c r="D29" s="1" t="s">
        <v>148</v>
      </c>
      <c r="E29" s="2">
        <f t="shared" si="0"/>
        <v>1</v>
      </c>
    </row>
    <row r="30" spans="1:12">
      <c r="A30" s="4" t="s">
        <v>34</v>
      </c>
      <c r="B30" s="2" t="s">
        <v>150</v>
      </c>
      <c r="C30" s="2" t="s">
        <v>29</v>
      </c>
      <c r="D30" s="1" t="s">
        <v>309</v>
      </c>
      <c r="E30" s="2">
        <f t="shared" si="0"/>
        <v>337</v>
      </c>
    </row>
    <row r="31" spans="1:12">
      <c r="A31" s="4" t="s">
        <v>35</v>
      </c>
      <c r="B31" s="2" t="s">
        <v>151</v>
      </c>
      <c r="C31" s="2" t="s">
        <v>32</v>
      </c>
      <c r="D31" s="1" t="s">
        <v>149</v>
      </c>
      <c r="E31" s="2">
        <f t="shared" si="0"/>
        <v>1</v>
      </c>
    </row>
    <row r="32" spans="1:12">
      <c r="A32" s="4" t="s">
        <v>36</v>
      </c>
      <c r="B32" s="2" t="s">
        <v>152</v>
      </c>
      <c r="C32" s="2" t="s">
        <v>29</v>
      </c>
      <c r="D32" s="2" t="s">
        <v>310</v>
      </c>
      <c r="E32" s="2">
        <f t="shared" si="0"/>
        <v>135</v>
      </c>
    </row>
    <row r="33" spans="1:11">
      <c r="A33" s="4" t="s">
        <v>37</v>
      </c>
      <c r="B33" s="2" t="s">
        <v>153</v>
      </c>
      <c r="C33" s="2" t="s">
        <v>27</v>
      </c>
      <c r="D33" s="2" t="s">
        <v>30</v>
      </c>
      <c r="E33" s="2">
        <f t="shared" si="0"/>
        <v>2</v>
      </c>
    </row>
    <row r="34" spans="1:11">
      <c r="A34" s="4" t="s">
        <v>38</v>
      </c>
      <c r="B34" s="2" t="s">
        <v>154</v>
      </c>
      <c r="C34" s="2" t="s">
        <v>29</v>
      </c>
      <c r="D34" s="1" t="s">
        <v>157</v>
      </c>
      <c r="E34" s="2">
        <f t="shared" si="0"/>
        <v>35</v>
      </c>
    </row>
    <row r="35" spans="1:11">
      <c r="A35" s="4" t="s">
        <v>39</v>
      </c>
      <c r="B35" s="2" t="s">
        <v>155</v>
      </c>
      <c r="C35" s="2" t="s">
        <v>32</v>
      </c>
      <c r="D35" s="1" t="s">
        <v>156</v>
      </c>
      <c r="E35" s="2">
        <f t="shared" si="0"/>
        <v>4</v>
      </c>
    </row>
    <row r="36" spans="1:11">
      <c r="A36" s="4" t="s">
        <v>40</v>
      </c>
      <c r="B36" s="2" t="s">
        <v>161</v>
      </c>
      <c r="C36" s="2" t="s">
        <v>29</v>
      </c>
      <c r="D36" s="2" t="s">
        <v>158</v>
      </c>
      <c r="E36" s="2">
        <f t="shared" si="0"/>
        <v>5</v>
      </c>
    </row>
    <row r="37" spans="1:11">
      <c r="A37" s="4" t="s">
        <v>41</v>
      </c>
      <c r="B37" s="2" t="s">
        <v>162</v>
      </c>
      <c r="C37" s="2" t="s">
        <v>32</v>
      </c>
      <c r="D37" s="1" t="s">
        <v>159</v>
      </c>
      <c r="E37" s="2">
        <f t="shared" si="0"/>
        <v>3</v>
      </c>
    </row>
    <row r="38" spans="1:11">
      <c r="A38" s="4" t="s">
        <v>42</v>
      </c>
      <c r="B38" s="2" t="s">
        <v>163</v>
      </c>
      <c r="C38" s="2" t="s">
        <v>29</v>
      </c>
      <c r="D38" s="1" t="s">
        <v>165</v>
      </c>
      <c r="E38" s="2">
        <f t="shared" si="0"/>
        <v>5</v>
      </c>
      <c r="F38" s="2">
        <v>1</v>
      </c>
    </row>
    <row r="39" spans="1:11">
      <c r="A39" s="4" t="s">
        <v>43</v>
      </c>
      <c r="B39" s="2" t="s">
        <v>164</v>
      </c>
      <c r="C39" s="2" t="s">
        <v>32</v>
      </c>
      <c r="D39" s="1" t="s">
        <v>160</v>
      </c>
      <c r="E39" s="2">
        <f t="shared" si="0"/>
        <v>1</v>
      </c>
    </row>
    <row r="40" spans="1:11">
      <c r="A40" s="4" t="s">
        <v>44</v>
      </c>
      <c r="B40" s="2" t="s">
        <v>167</v>
      </c>
      <c r="C40" s="2" t="s">
        <v>29</v>
      </c>
      <c r="D40" s="1" t="s">
        <v>311</v>
      </c>
      <c r="E40" s="2">
        <f t="shared" si="0"/>
        <v>105</v>
      </c>
    </row>
    <row r="41" spans="1:11">
      <c r="A41" s="4" t="s">
        <v>45</v>
      </c>
      <c r="B41" s="2" t="s">
        <v>168</v>
      </c>
      <c r="C41" s="2" t="s">
        <v>170</v>
      </c>
      <c r="D41" s="1" t="s">
        <v>166</v>
      </c>
      <c r="E41" s="2">
        <f t="shared" si="0"/>
        <v>22</v>
      </c>
    </row>
    <row r="42" spans="1:11">
      <c r="A42" s="4" t="s">
        <v>46</v>
      </c>
      <c r="B42" s="3" t="s">
        <v>169</v>
      </c>
      <c r="C42" s="2" t="s">
        <v>29</v>
      </c>
      <c r="D42" s="1" t="s">
        <v>173</v>
      </c>
      <c r="E42" s="2">
        <f t="shared" si="0"/>
        <v>50</v>
      </c>
      <c r="K42" s="2">
        <v>1</v>
      </c>
    </row>
    <row r="43" spans="1:11">
      <c r="A43" s="4" t="s">
        <v>47</v>
      </c>
      <c r="B43" s="3" t="s">
        <v>171</v>
      </c>
      <c r="C43" s="2" t="s">
        <v>172</v>
      </c>
      <c r="D43" s="1" t="s">
        <v>174</v>
      </c>
      <c r="E43" s="2">
        <f t="shared" si="0"/>
        <v>11</v>
      </c>
    </row>
    <row r="44" spans="1:11">
      <c r="A44" s="4" t="s">
        <v>48</v>
      </c>
      <c r="B44" s="2" t="s">
        <v>179</v>
      </c>
      <c r="C44" s="2" t="s">
        <v>29</v>
      </c>
      <c r="D44" s="1" t="s">
        <v>175</v>
      </c>
      <c r="E44" s="2">
        <f t="shared" si="0"/>
        <v>17</v>
      </c>
      <c r="F44" s="2">
        <v>1</v>
      </c>
    </row>
    <row r="45" spans="1:11">
      <c r="A45" s="4" t="s">
        <v>49</v>
      </c>
      <c r="B45" s="2" t="s">
        <v>180</v>
      </c>
      <c r="C45" s="2" t="s">
        <v>172</v>
      </c>
      <c r="D45" s="1" t="s">
        <v>176</v>
      </c>
      <c r="E45" s="2">
        <f t="shared" si="0"/>
        <v>5</v>
      </c>
    </row>
    <row r="46" spans="1:11">
      <c r="A46" s="4" t="s">
        <v>50</v>
      </c>
      <c r="B46" s="2" t="s">
        <v>181</v>
      </c>
      <c r="C46" s="2" t="s">
        <v>29</v>
      </c>
      <c r="D46" s="1" t="s">
        <v>177</v>
      </c>
      <c r="E46" s="2">
        <f t="shared" si="0"/>
        <v>3</v>
      </c>
    </row>
    <row r="47" spans="1:11">
      <c r="A47" s="4" t="s">
        <v>51</v>
      </c>
      <c r="B47" s="2" t="s">
        <v>182</v>
      </c>
      <c r="C47" s="2" t="s">
        <v>172</v>
      </c>
      <c r="D47" s="1" t="s">
        <v>178</v>
      </c>
      <c r="E47" s="2">
        <f t="shared" si="0"/>
        <v>1</v>
      </c>
    </row>
    <row r="48" spans="1:11">
      <c r="A48" s="4" t="s">
        <v>52</v>
      </c>
      <c r="B48" s="2" t="s">
        <v>183</v>
      </c>
      <c r="C48" s="2" t="s">
        <v>29</v>
      </c>
      <c r="D48" s="1" t="s">
        <v>185</v>
      </c>
      <c r="E48" s="2">
        <f t="shared" si="0"/>
        <v>9</v>
      </c>
      <c r="K48" s="2">
        <v>1</v>
      </c>
    </row>
    <row r="49" spans="1:11">
      <c r="A49" s="4" t="s">
        <v>53</v>
      </c>
      <c r="B49" s="2" t="s">
        <v>184</v>
      </c>
      <c r="C49" s="2" t="s">
        <v>188</v>
      </c>
      <c r="D49" s="1" t="s">
        <v>186</v>
      </c>
      <c r="E49" s="2">
        <f t="shared" si="0"/>
        <v>1</v>
      </c>
    </row>
    <row r="50" spans="1:11">
      <c r="A50" s="4" t="s">
        <v>54</v>
      </c>
      <c r="B50" s="2" t="s">
        <v>189</v>
      </c>
      <c r="C50" s="2" t="s">
        <v>29</v>
      </c>
      <c r="D50" s="1" t="s">
        <v>187</v>
      </c>
      <c r="E50" s="2">
        <f t="shared" si="0"/>
        <v>4</v>
      </c>
    </row>
    <row r="51" spans="1:11">
      <c r="A51" s="4" t="s">
        <v>55</v>
      </c>
      <c r="B51" s="2" t="s">
        <v>190</v>
      </c>
      <c r="C51" s="2" t="s">
        <v>188</v>
      </c>
      <c r="D51" s="1" t="s">
        <v>186</v>
      </c>
      <c r="E51" s="2">
        <f t="shared" si="0"/>
        <v>1</v>
      </c>
    </row>
    <row r="52" spans="1:11">
      <c r="A52" s="4" t="s">
        <v>56</v>
      </c>
      <c r="B52" s="2" t="s">
        <v>191</v>
      </c>
      <c r="C52" s="2" t="s">
        <v>29</v>
      </c>
      <c r="D52" s="1" t="s">
        <v>193</v>
      </c>
      <c r="E52" s="2">
        <f t="shared" si="0"/>
        <v>5</v>
      </c>
      <c r="H52" s="2">
        <v>1</v>
      </c>
    </row>
    <row r="53" spans="1:11">
      <c r="A53" s="4" t="s">
        <v>57</v>
      </c>
      <c r="B53" s="2" t="s">
        <v>194</v>
      </c>
      <c r="C53" s="2" t="s">
        <v>188</v>
      </c>
      <c r="D53" s="1" t="s">
        <v>192</v>
      </c>
      <c r="E53" s="2">
        <f t="shared" si="0"/>
        <v>11</v>
      </c>
    </row>
    <row r="54" spans="1:11">
      <c r="A54" s="4" t="s">
        <v>58</v>
      </c>
      <c r="B54" s="2" t="s">
        <v>195</v>
      </c>
      <c r="C54" s="2" t="s">
        <v>29</v>
      </c>
      <c r="D54" s="2" t="s">
        <v>312</v>
      </c>
      <c r="E54" s="2">
        <f t="shared" si="0"/>
        <v>177</v>
      </c>
    </row>
    <row r="55" spans="1:11">
      <c r="A55" s="4" t="s">
        <v>59</v>
      </c>
      <c r="B55" s="2" t="s">
        <v>196</v>
      </c>
      <c r="C55" s="2" t="s">
        <v>201</v>
      </c>
      <c r="D55" s="1" t="s">
        <v>33</v>
      </c>
      <c r="E55" s="2">
        <f t="shared" si="0"/>
        <v>1</v>
      </c>
    </row>
    <row r="56" spans="1:11">
      <c r="A56" s="4" t="s">
        <v>60</v>
      </c>
      <c r="B56" s="2" t="s">
        <v>199</v>
      </c>
      <c r="C56" s="2" t="s">
        <v>29</v>
      </c>
      <c r="D56" s="1" t="s">
        <v>200</v>
      </c>
      <c r="E56" s="2">
        <f t="shared" si="0"/>
        <v>16</v>
      </c>
    </row>
    <row r="57" spans="1:11">
      <c r="A57" s="4" t="s">
        <v>61</v>
      </c>
      <c r="B57" s="2" t="s">
        <v>197</v>
      </c>
      <c r="C57" s="2" t="s">
        <v>201</v>
      </c>
      <c r="D57" s="1" t="s">
        <v>198</v>
      </c>
      <c r="E57" s="2">
        <f t="shared" si="0"/>
        <v>5</v>
      </c>
    </row>
    <row r="58" spans="1:11">
      <c r="A58" s="4" t="s">
        <v>62</v>
      </c>
      <c r="B58" s="2" t="s">
        <v>206</v>
      </c>
      <c r="C58" s="2" t="s">
        <v>29</v>
      </c>
      <c r="D58" s="1" t="s">
        <v>313</v>
      </c>
      <c r="E58" s="2">
        <f t="shared" si="0"/>
        <v>20</v>
      </c>
      <c r="F58" s="2">
        <v>1</v>
      </c>
    </row>
    <row r="59" spans="1:11">
      <c r="A59" s="4" t="s">
        <v>63</v>
      </c>
      <c r="B59" s="2" t="s">
        <v>207</v>
      </c>
      <c r="C59" s="2" t="s">
        <v>201</v>
      </c>
      <c r="D59" s="1" t="s">
        <v>202</v>
      </c>
      <c r="E59" s="2">
        <f t="shared" si="0"/>
        <v>2</v>
      </c>
    </row>
    <row r="60" spans="1:11">
      <c r="A60" s="4" t="s">
        <v>64</v>
      </c>
      <c r="B60" s="2" t="s">
        <v>208</v>
      </c>
      <c r="C60" s="2" t="s">
        <v>29</v>
      </c>
      <c r="D60" s="1" t="s">
        <v>203</v>
      </c>
      <c r="E60" s="2">
        <f t="shared" si="0"/>
        <v>13</v>
      </c>
      <c r="F60" s="2">
        <v>1</v>
      </c>
    </row>
    <row r="61" spans="1:11">
      <c r="A61" s="4" t="s">
        <v>65</v>
      </c>
      <c r="B61" s="2" t="s">
        <v>209</v>
      </c>
      <c r="C61" s="2" t="s">
        <v>201</v>
      </c>
      <c r="D61" s="1" t="s">
        <v>204</v>
      </c>
      <c r="E61" s="2">
        <f t="shared" si="0"/>
        <v>2</v>
      </c>
    </row>
    <row r="62" spans="1:11">
      <c r="A62" s="4" t="s">
        <v>66</v>
      </c>
      <c r="B62" s="2" t="s">
        <v>210</v>
      </c>
      <c r="C62" s="2" t="s">
        <v>29</v>
      </c>
      <c r="D62" s="1" t="s">
        <v>205</v>
      </c>
      <c r="E62" s="2">
        <f t="shared" si="0"/>
        <v>6</v>
      </c>
      <c r="K62" s="2">
        <v>1</v>
      </c>
    </row>
    <row r="63" spans="1:11">
      <c r="A63" s="4" t="s">
        <v>67</v>
      </c>
      <c r="B63" s="2" t="s">
        <v>213</v>
      </c>
      <c r="C63" s="2" t="s">
        <v>219</v>
      </c>
      <c r="D63" s="1" t="s">
        <v>211</v>
      </c>
      <c r="E63" s="2">
        <f t="shared" si="0"/>
        <v>5</v>
      </c>
    </row>
    <row r="64" spans="1:11">
      <c r="A64" s="4" t="s">
        <v>68</v>
      </c>
      <c r="B64" s="2" t="s">
        <v>214</v>
      </c>
      <c r="C64" s="2" t="s">
        <v>29</v>
      </c>
      <c r="D64" s="1" t="s">
        <v>314</v>
      </c>
      <c r="E64" s="2">
        <f t="shared" si="0"/>
        <v>263</v>
      </c>
    </row>
    <row r="65" spans="1:13">
      <c r="A65" s="4" t="s">
        <v>69</v>
      </c>
      <c r="B65" s="2" t="s">
        <v>215</v>
      </c>
      <c r="C65" s="2" t="s">
        <v>221</v>
      </c>
      <c r="D65" s="1" t="s">
        <v>212</v>
      </c>
      <c r="E65" s="2">
        <f t="shared" si="0"/>
        <v>1</v>
      </c>
    </row>
    <row r="66" spans="1:13">
      <c r="A66" s="4" t="s">
        <v>70</v>
      </c>
      <c r="B66" s="3" t="s">
        <v>216</v>
      </c>
      <c r="C66" s="2" t="s">
        <v>29</v>
      </c>
      <c r="D66" s="1" t="s">
        <v>315</v>
      </c>
      <c r="E66" s="2">
        <f t="shared" si="0"/>
        <v>227</v>
      </c>
    </row>
    <row r="67" spans="1:13">
      <c r="A67" s="4" t="s">
        <v>71</v>
      </c>
      <c r="B67" s="2" t="s">
        <v>217</v>
      </c>
      <c r="C67" s="2" t="s">
        <v>220</v>
      </c>
      <c r="D67" s="2" t="s">
        <v>218</v>
      </c>
      <c r="E67" s="2">
        <f t="shared" si="0"/>
        <v>11</v>
      </c>
    </row>
    <row r="68" spans="1:13">
      <c r="A68" s="4" t="s">
        <v>72</v>
      </c>
      <c r="B68" s="2" t="s">
        <v>222</v>
      </c>
      <c r="C68" s="2" t="s">
        <v>29</v>
      </c>
      <c r="D68" s="2" t="s">
        <v>316</v>
      </c>
      <c r="E68" s="2">
        <f t="shared" ref="E68:E97" si="1">LEN(D68)-LEN(SUBSTITUTE(D68," ",""))+1</f>
        <v>230</v>
      </c>
    </row>
    <row r="69" spans="1:13">
      <c r="A69" s="4" t="s">
        <v>73</v>
      </c>
      <c r="B69" s="2" t="s">
        <v>223</v>
      </c>
      <c r="C69" s="2" t="s">
        <v>27</v>
      </c>
      <c r="D69" s="1" t="s">
        <v>30</v>
      </c>
      <c r="E69" s="2">
        <f t="shared" si="1"/>
        <v>2</v>
      </c>
    </row>
    <row r="70" spans="1:13">
      <c r="A70" s="4" t="s">
        <v>74</v>
      </c>
      <c r="B70" s="2" t="s">
        <v>224</v>
      </c>
      <c r="C70" s="2" t="s">
        <v>29</v>
      </c>
      <c r="D70" s="1" t="s">
        <v>226</v>
      </c>
      <c r="E70" s="2">
        <f t="shared" si="1"/>
        <v>31</v>
      </c>
    </row>
    <row r="71" spans="1:13">
      <c r="A71" s="4" t="s">
        <v>75</v>
      </c>
      <c r="B71" s="2" t="s">
        <v>225</v>
      </c>
      <c r="C71" s="2" t="s">
        <v>27</v>
      </c>
      <c r="D71" s="1" t="s">
        <v>30</v>
      </c>
      <c r="E71" s="2">
        <f t="shared" si="1"/>
        <v>2</v>
      </c>
    </row>
    <row r="72" spans="1:13">
      <c r="A72" s="4" t="s">
        <v>76</v>
      </c>
      <c r="B72" s="2" t="s">
        <v>227</v>
      </c>
      <c r="C72" s="2" t="s">
        <v>29</v>
      </c>
      <c r="D72" s="1" t="s">
        <v>317</v>
      </c>
      <c r="E72" s="2">
        <f t="shared" si="1"/>
        <v>147</v>
      </c>
    </row>
    <row r="73" spans="1:13">
      <c r="A73" s="4" t="s">
        <v>77</v>
      </c>
      <c r="B73" s="2" t="s">
        <v>228</v>
      </c>
      <c r="C73" s="2" t="s">
        <v>172</v>
      </c>
      <c r="D73" s="1" t="s">
        <v>229</v>
      </c>
      <c r="E73" s="2">
        <f t="shared" si="1"/>
        <v>5</v>
      </c>
    </row>
    <row r="74" spans="1:13">
      <c r="A74" s="4" t="s">
        <v>78</v>
      </c>
      <c r="B74" s="2" t="s">
        <v>237</v>
      </c>
      <c r="C74" s="2" t="s">
        <v>29</v>
      </c>
      <c r="D74" s="1" t="s">
        <v>230</v>
      </c>
      <c r="E74" s="2">
        <f t="shared" si="1"/>
        <v>13</v>
      </c>
      <c r="J74" s="2">
        <v>1</v>
      </c>
    </row>
    <row r="75" spans="1:13">
      <c r="A75" s="4" t="s">
        <v>79</v>
      </c>
      <c r="B75" s="2" t="s">
        <v>238</v>
      </c>
      <c r="C75" s="2" t="s">
        <v>141</v>
      </c>
      <c r="D75" s="1" t="s">
        <v>231</v>
      </c>
      <c r="E75" s="2">
        <f t="shared" si="1"/>
        <v>2</v>
      </c>
    </row>
    <row r="76" spans="1:13">
      <c r="A76" s="4" t="s">
        <v>80</v>
      </c>
      <c r="B76" s="2" t="s">
        <v>239</v>
      </c>
      <c r="C76" s="2" t="s">
        <v>29</v>
      </c>
      <c r="D76" s="1" t="s">
        <v>232</v>
      </c>
      <c r="E76" s="2">
        <f t="shared" si="1"/>
        <v>8</v>
      </c>
      <c r="J76" s="2">
        <v>1</v>
      </c>
    </row>
    <row r="77" spans="1:13">
      <c r="A77" s="4" t="s">
        <v>81</v>
      </c>
      <c r="B77" s="2" t="s">
        <v>240</v>
      </c>
      <c r="C77" s="2" t="s">
        <v>235</v>
      </c>
      <c r="D77" s="1" t="s">
        <v>231</v>
      </c>
      <c r="E77" s="2">
        <f t="shared" si="1"/>
        <v>2</v>
      </c>
    </row>
    <row r="78" spans="1:13">
      <c r="A78" s="4" t="s">
        <v>82</v>
      </c>
      <c r="B78" s="2" t="s">
        <v>241</v>
      </c>
      <c r="C78" s="2" t="s">
        <v>29</v>
      </c>
      <c r="D78" s="1" t="s">
        <v>233</v>
      </c>
      <c r="E78" s="2">
        <f t="shared" si="1"/>
        <v>4</v>
      </c>
      <c r="J78" s="2">
        <v>1</v>
      </c>
    </row>
    <row r="79" spans="1:13">
      <c r="A79" s="4" t="s">
        <v>83</v>
      </c>
      <c r="B79" s="2" t="s">
        <v>242</v>
      </c>
      <c r="C79" s="2" t="s">
        <v>236</v>
      </c>
      <c r="D79" s="2" t="s">
        <v>234</v>
      </c>
      <c r="E79" s="2">
        <f t="shared" si="1"/>
        <v>1</v>
      </c>
    </row>
    <row r="80" spans="1:13">
      <c r="A80" s="4" t="s">
        <v>84</v>
      </c>
      <c r="B80" s="2" t="s">
        <v>248</v>
      </c>
      <c r="C80" s="2" t="s">
        <v>29</v>
      </c>
      <c r="D80" s="1" t="s">
        <v>243</v>
      </c>
      <c r="E80" s="2">
        <f t="shared" si="1"/>
        <v>29</v>
      </c>
      <c r="M80" s="2">
        <v>1</v>
      </c>
    </row>
    <row r="81" spans="1:11">
      <c r="A81" s="4" t="s">
        <v>85</v>
      </c>
      <c r="B81" s="2" t="s">
        <v>249</v>
      </c>
      <c r="C81" s="2" t="s">
        <v>247</v>
      </c>
      <c r="D81" s="1" t="s">
        <v>244</v>
      </c>
      <c r="E81" s="2">
        <f t="shared" si="1"/>
        <v>6</v>
      </c>
    </row>
    <row r="82" spans="1:11">
      <c r="A82" s="4" t="s">
        <v>86</v>
      </c>
      <c r="B82" s="2" t="s">
        <v>250</v>
      </c>
      <c r="C82" s="2" t="s">
        <v>29</v>
      </c>
      <c r="D82" s="1" t="s">
        <v>246</v>
      </c>
      <c r="E82" s="2">
        <f t="shared" si="1"/>
        <v>5</v>
      </c>
    </row>
    <row r="83" spans="1:11">
      <c r="A83" s="4" t="s">
        <v>87</v>
      </c>
      <c r="B83" s="2" t="s">
        <v>251</v>
      </c>
      <c r="C83" s="2" t="s">
        <v>247</v>
      </c>
      <c r="D83" s="1" t="s">
        <v>245</v>
      </c>
      <c r="E83" s="2">
        <f t="shared" si="1"/>
        <v>27</v>
      </c>
    </row>
    <row r="84" spans="1:11">
      <c r="A84" s="4" t="s">
        <v>88</v>
      </c>
      <c r="B84" s="2" t="s">
        <v>254</v>
      </c>
      <c r="C84" s="2" t="s">
        <v>29</v>
      </c>
      <c r="D84" s="1" t="s">
        <v>318</v>
      </c>
      <c r="E84" s="2">
        <f t="shared" si="1"/>
        <v>50</v>
      </c>
    </row>
    <row r="85" spans="1:11">
      <c r="A85" s="4" t="s">
        <v>89</v>
      </c>
      <c r="B85" s="2" t="s">
        <v>255</v>
      </c>
      <c r="C85" s="2" t="s">
        <v>235</v>
      </c>
      <c r="D85" s="1" t="s">
        <v>252</v>
      </c>
      <c r="E85" s="2">
        <f t="shared" si="1"/>
        <v>45</v>
      </c>
    </row>
    <row r="86" spans="1:11">
      <c r="A86" s="4" t="s">
        <v>90</v>
      </c>
      <c r="B86" s="2" t="s">
        <v>256</v>
      </c>
      <c r="C86" s="2" t="s">
        <v>29</v>
      </c>
      <c r="D86" s="1" t="s">
        <v>253</v>
      </c>
      <c r="E86" s="2">
        <f t="shared" si="1"/>
        <v>109</v>
      </c>
      <c r="K86" s="2">
        <v>1</v>
      </c>
    </row>
    <row r="87" spans="1:11">
      <c r="A87" s="4" t="s">
        <v>91</v>
      </c>
      <c r="B87" s="2" t="s">
        <v>257</v>
      </c>
      <c r="C87" s="2" t="s">
        <v>259</v>
      </c>
      <c r="D87" s="1" t="s">
        <v>258</v>
      </c>
      <c r="E87" s="2">
        <f t="shared" si="1"/>
        <v>1</v>
      </c>
    </row>
    <row r="88" spans="1:11">
      <c r="A88" s="4" t="s">
        <v>92</v>
      </c>
      <c r="B88" s="2" t="s">
        <v>261</v>
      </c>
      <c r="C88" s="2" t="s">
        <v>29</v>
      </c>
      <c r="D88" s="1" t="s">
        <v>319</v>
      </c>
      <c r="E88" s="2">
        <f t="shared" si="1"/>
        <v>1079</v>
      </c>
    </row>
    <row r="89" spans="1:11">
      <c r="A89" s="4" t="s">
        <v>93</v>
      </c>
      <c r="B89" s="2" t="s">
        <v>262</v>
      </c>
      <c r="C89" s="2" t="s">
        <v>15</v>
      </c>
      <c r="D89" s="1" t="s">
        <v>269</v>
      </c>
      <c r="E89" s="2">
        <f t="shared" si="1"/>
        <v>5</v>
      </c>
    </row>
    <row r="90" spans="1:11">
      <c r="A90" s="4" t="s">
        <v>94</v>
      </c>
      <c r="B90" s="2" t="s">
        <v>263</v>
      </c>
      <c r="C90" s="2" t="s">
        <v>29</v>
      </c>
      <c r="D90" s="1" t="s">
        <v>270</v>
      </c>
      <c r="E90" s="2">
        <f t="shared" si="1"/>
        <v>26</v>
      </c>
    </row>
    <row r="91" spans="1:11">
      <c r="A91" s="4" t="s">
        <v>95</v>
      </c>
      <c r="B91" s="2" t="s">
        <v>264</v>
      </c>
      <c r="C91" s="2" t="s">
        <v>260</v>
      </c>
      <c r="D91" s="1" t="s">
        <v>271</v>
      </c>
      <c r="E91" s="2">
        <f t="shared" si="1"/>
        <v>21</v>
      </c>
    </row>
    <row r="92" spans="1:11">
      <c r="A92" s="4" t="s">
        <v>96</v>
      </c>
      <c r="B92" s="2" t="s">
        <v>265</v>
      </c>
      <c r="C92" s="2" t="s">
        <v>29</v>
      </c>
      <c r="D92" s="1" t="s">
        <v>272</v>
      </c>
      <c r="E92" s="2">
        <f t="shared" si="1"/>
        <v>10</v>
      </c>
    </row>
    <row r="93" spans="1:11">
      <c r="A93" s="4" t="s">
        <v>97</v>
      </c>
      <c r="B93" s="2" t="s">
        <v>266</v>
      </c>
      <c r="C93" s="2" t="s">
        <v>260</v>
      </c>
      <c r="D93" s="1" t="s">
        <v>273</v>
      </c>
      <c r="E93" s="2">
        <f t="shared" si="1"/>
        <v>2</v>
      </c>
    </row>
    <row r="94" spans="1:11">
      <c r="A94" s="4" t="s">
        <v>98</v>
      </c>
      <c r="B94" s="2" t="s">
        <v>267</v>
      </c>
      <c r="C94" s="2" t="s">
        <v>29</v>
      </c>
      <c r="D94" s="1" t="s">
        <v>275</v>
      </c>
      <c r="E94" s="2">
        <f t="shared" si="1"/>
        <v>5</v>
      </c>
    </row>
    <row r="95" spans="1:11">
      <c r="A95" s="4" t="s">
        <v>99</v>
      </c>
      <c r="B95" s="2" t="s">
        <v>268</v>
      </c>
      <c r="C95" s="2" t="s">
        <v>260</v>
      </c>
      <c r="D95" s="1" t="s">
        <v>274</v>
      </c>
      <c r="E95" s="2">
        <f t="shared" si="1"/>
        <v>3</v>
      </c>
    </row>
    <row r="96" spans="1:11">
      <c r="A96" s="4" t="s">
        <v>100</v>
      </c>
      <c r="B96" s="2" t="s">
        <v>279</v>
      </c>
      <c r="C96" s="2" t="s">
        <v>29</v>
      </c>
      <c r="D96" s="2" t="s">
        <v>278</v>
      </c>
      <c r="E96" s="2">
        <f t="shared" si="1"/>
        <v>194</v>
      </c>
    </row>
    <row r="97" spans="1:13">
      <c r="A97" s="4" t="s">
        <v>101</v>
      </c>
      <c r="B97" s="2" t="s">
        <v>276</v>
      </c>
      <c r="C97" s="2" t="s">
        <v>27</v>
      </c>
      <c r="D97" s="1" t="s">
        <v>277</v>
      </c>
      <c r="E97" s="2">
        <f t="shared" si="1"/>
        <v>7</v>
      </c>
    </row>
    <row r="99" spans="1:13">
      <c r="D99" s="2" t="s">
        <v>299</v>
      </c>
      <c r="E99" s="8">
        <f>SUM(E3:E97)</f>
        <v>4351</v>
      </c>
      <c r="F99" s="8">
        <f t="shared" ref="F99:M99" si="2">SUM(F3:F97)</f>
        <v>4</v>
      </c>
      <c r="G99" s="8">
        <f t="shared" si="2"/>
        <v>1</v>
      </c>
      <c r="H99" s="8">
        <f t="shared" si="2"/>
        <v>1</v>
      </c>
      <c r="I99" s="8">
        <f t="shared" si="2"/>
        <v>0</v>
      </c>
      <c r="J99" s="8">
        <f t="shared" si="2"/>
        <v>3</v>
      </c>
      <c r="K99" s="8">
        <f t="shared" si="2"/>
        <v>4</v>
      </c>
      <c r="L99" s="8">
        <f t="shared" si="2"/>
        <v>3</v>
      </c>
      <c r="M99" s="8">
        <f t="shared" si="2"/>
        <v>1</v>
      </c>
    </row>
    <row r="100" spans="1:13">
      <c r="D100" s="8" t="s">
        <v>294</v>
      </c>
      <c r="E100" s="2">
        <f>SUMIF(C3:C97, "Teacher", E3:E97)</f>
        <v>4076</v>
      </c>
    </row>
    <row r="101" spans="1:13">
      <c r="D101" s="8" t="s">
        <v>295</v>
      </c>
      <c r="E101" s="2">
        <f>E99-E100</f>
        <v>275</v>
      </c>
    </row>
    <row r="102" spans="1:13">
      <c r="D102" s="8" t="s">
        <v>296</v>
      </c>
      <c r="E102" s="2">
        <v>95</v>
      </c>
    </row>
    <row r="103" spans="1:13">
      <c r="D103" s="8" t="s">
        <v>297</v>
      </c>
      <c r="E103" s="2">
        <f>COUNTIF(C3:C97, "Teacher")</f>
        <v>47</v>
      </c>
    </row>
    <row r="104" spans="1:13">
      <c r="D104" s="8" t="s">
        <v>298</v>
      </c>
      <c r="E104" s="2">
        <f>E102-E103</f>
        <v>48</v>
      </c>
    </row>
    <row r="105" spans="1:13">
      <c r="D105" s="1"/>
    </row>
    <row r="106" spans="1:13">
      <c r="D106" s="1"/>
    </row>
    <row r="107" spans="1:13">
      <c r="D107" s="1"/>
    </row>
    <row r="109" spans="1:13">
      <c r="D109" s="1"/>
    </row>
    <row r="111" spans="1:13">
      <c r="D111" s="1"/>
    </row>
    <row r="112" spans="1:13">
      <c r="D112" s="1"/>
    </row>
    <row r="113" spans="2:4">
      <c r="D113" s="1"/>
    </row>
    <row r="115" spans="2:4">
      <c r="D115" s="1"/>
    </row>
    <row r="117" spans="2:4">
      <c r="B117" s="3"/>
      <c r="D117" s="1"/>
    </row>
    <row r="119" spans="2:4">
      <c r="D119" s="1"/>
    </row>
    <row r="120" spans="2:4">
      <c r="B120" s="3"/>
    </row>
    <row r="122" spans="2:4">
      <c r="D122" s="1"/>
    </row>
    <row r="123" spans="2:4">
      <c r="D123" s="1"/>
    </row>
    <row r="124" spans="2:4">
      <c r="D124" s="1"/>
    </row>
    <row r="125" spans="2:4">
      <c r="D125" s="1"/>
    </row>
    <row r="129" spans="4:4">
      <c r="D129" s="1"/>
    </row>
    <row r="130" spans="4:4">
      <c r="D130" s="1"/>
    </row>
    <row r="131" spans="4:4">
      <c r="D131" s="1"/>
    </row>
    <row r="132" spans="4:4">
      <c r="D132" s="1"/>
    </row>
    <row r="133" spans="4:4">
      <c r="D133" s="1"/>
    </row>
    <row r="134" spans="4:4">
      <c r="D134" s="1"/>
    </row>
    <row r="136" spans="4:4">
      <c r="D136" s="1"/>
    </row>
    <row r="138" spans="4:4">
      <c r="D138" s="1"/>
    </row>
    <row r="140" spans="4:4">
      <c r="D140" s="1"/>
    </row>
    <row r="142" spans="4:4">
      <c r="D142" s="1"/>
    </row>
    <row r="143" spans="4:4">
      <c r="D143" s="1"/>
    </row>
    <row r="144" spans="4:4">
      <c r="D144" s="1"/>
    </row>
    <row r="145" spans="4:4">
      <c r="D145" s="1"/>
    </row>
    <row r="147" spans="4:4">
      <c r="D147" s="1"/>
    </row>
    <row r="148" spans="4:4">
      <c r="D148" s="1"/>
    </row>
    <row r="150" spans="4:4">
      <c r="D150" s="1"/>
    </row>
    <row r="151" spans="4:4">
      <c r="D151" s="1"/>
    </row>
    <row r="152" spans="4:4">
      <c r="D152" s="1"/>
    </row>
    <row r="156" spans="4:4">
      <c r="D156" s="1"/>
    </row>
    <row r="157" spans="4:4">
      <c r="D157" s="1"/>
    </row>
    <row r="158" spans="4:4">
      <c r="D158" s="1"/>
    </row>
    <row r="160" spans="4:4">
      <c r="D160" s="1"/>
    </row>
    <row r="164" spans="4:4">
      <c r="D164" s="1"/>
    </row>
    <row r="166" spans="4:4">
      <c r="D166" s="1"/>
    </row>
    <row r="167" spans="4:4">
      <c r="D167" s="1"/>
    </row>
    <row r="168" spans="4:4">
      <c r="D168" s="1"/>
    </row>
    <row r="169" spans="4:4">
      <c r="D169" s="1"/>
    </row>
    <row r="170" spans="4:4">
      <c r="D170" s="1"/>
    </row>
    <row r="171" spans="4:4">
      <c r="D171" s="1"/>
    </row>
    <row r="172" spans="4:4">
      <c r="D172" s="1"/>
    </row>
    <row r="173" spans="4:4">
      <c r="D173" s="1"/>
    </row>
    <row r="174" spans="4:4">
      <c r="D174" s="1"/>
    </row>
    <row r="175" spans="4:4">
      <c r="D175" s="1"/>
    </row>
    <row r="177" spans="4:4">
      <c r="D177" s="1"/>
    </row>
  </sheetData>
  <mergeCells count="6">
    <mergeCell ref="F1:M1"/>
    <mergeCell ref="A1:A2"/>
    <mergeCell ref="B1:B2"/>
    <mergeCell ref="C1:C2"/>
    <mergeCell ref="D1:D2"/>
    <mergeCell ref="E1:E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2026-04-25T03:21:24Z</dcterms:modified>
</cp:coreProperties>
</file>