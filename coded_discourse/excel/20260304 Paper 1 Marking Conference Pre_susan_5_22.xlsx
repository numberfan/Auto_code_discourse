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5.20编码任务/"/>
    </mc:Choice>
  </mc:AlternateContent>
  <xr:revisionPtr revIDLastSave="13" documentId="8_{73552C29-76D9-C347-951E-FB5FF643A9DF}" xr6:coauthVersionLast="47" xr6:coauthVersionMax="47" xr10:uidLastSave="{EB1C1BE7-DCAB-DB40-9E09-9C99E3A50EE0}"/>
  <bookViews>
    <workbookView xWindow="14800" yWindow="920" windowWidth="14440" windowHeight="16100" xr2:uid="{3CEDF894-5994-4F3A-AF8D-48FA439110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0" i="1" l="1"/>
  <c r="G170" i="1"/>
  <c r="H170" i="1"/>
  <c r="I170" i="1"/>
  <c r="J170" i="1"/>
  <c r="K170" i="1"/>
  <c r="L170" i="1"/>
  <c r="M170" i="1"/>
  <c r="E175" i="1"/>
  <c r="E174"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3" i="1"/>
  <c r="E171" i="1" l="1"/>
  <c r="E170" i="1"/>
  <c r="E172" i="1" l="1"/>
</calcChain>
</file>

<file path=xl/sharedStrings.xml><?xml version="1.0" encoding="utf-8"?>
<sst xmlns="http://schemas.openxmlformats.org/spreadsheetml/2006/main" count="515" uniqueCount="323">
  <si>
    <t xml:space="preserve">Teacher: </t>
  </si>
  <si>
    <t>00:54-00:55</t>
  </si>
  <si>
    <t xml:space="preserve">Student 2: </t>
  </si>
  <si>
    <t>Yes</t>
  </si>
  <si>
    <t>01:24-01:50</t>
  </si>
  <si>
    <t xml:space="preserve">Student 3: </t>
  </si>
  <si>
    <t>01:51-02:54</t>
  </si>
  <si>
    <t xml:space="preserve">Student 4: </t>
  </si>
  <si>
    <t>Okay, so what --</t>
  </si>
  <si>
    <t>We can see that it (inaudible)</t>
  </si>
  <si>
    <t>03:54-03:58</t>
  </si>
  <si>
    <t>03:58-03:59</t>
  </si>
  <si>
    <t>04:00-04:35</t>
  </si>
  <si>
    <t>04:36-05:36</t>
  </si>
  <si>
    <t xml:space="preserve">Student 5: </t>
  </si>
  <si>
    <t>05:37-06:31</t>
  </si>
  <si>
    <t>06:31-06:45</t>
  </si>
  <si>
    <t xml:space="preserve">Student 6: </t>
  </si>
  <si>
    <t>06:45-06:46</t>
  </si>
  <si>
    <t xml:space="preserve">Mmmh </t>
  </si>
  <si>
    <t>06:46-07:01</t>
  </si>
  <si>
    <t xml:space="preserve">So I think is a …. The person who is trying to write the answer is trying to write flourish </t>
  </si>
  <si>
    <t>07:01-10:40</t>
  </si>
  <si>
    <t>10:43-11:09</t>
  </si>
  <si>
    <t xml:space="preserve">Student 7: </t>
  </si>
  <si>
    <t>Uh, teacher, I wanna ask …When I was looking at the marking scheme I think uh you can separate the answer into two parts of the reason and the person's.... And judgment I think... I wanna ask if it's necessary to write it....</t>
  </si>
  <si>
    <t>11:09-13:33</t>
  </si>
  <si>
    <t>13:33-13:35</t>
  </si>
  <si>
    <t xml:space="preserve">Student 8: </t>
  </si>
  <si>
    <t>Not. Uh, it’s not making sense</t>
  </si>
  <si>
    <t>13:35-15:01</t>
  </si>
  <si>
    <t xml:space="preserve">Teacher:  </t>
  </si>
  <si>
    <t>15:02-15:03</t>
  </si>
  <si>
    <t xml:space="preserve">Student 9: </t>
  </si>
  <si>
    <t>Zero</t>
  </si>
  <si>
    <t>15:04-15:05</t>
  </si>
  <si>
    <t>Zero, and even b as well?</t>
  </si>
  <si>
    <t>15:06-15:07</t>
  </si>
  <si>
    <t>Um, one</t>
  </si>
  <si>
    <t>15:07-15:09</t>
  </si>
  <si>
    <t>One, c?</t>
  </si>
  <si>
    <t>15:09-15:10</t>
  </si>
  <si>
    <t xml:space="preserve">Zero </t>
  </si>
  <si>
    <t>15:11-15:13</t>
  </si>
  <si>
    <t>Zero, d?</t>
  </si>
  <si>
    <t>15:13-15:14</t>
  </si>
  <si>
    <t>15:15-15:16</t>
  </si>
  <si>
    <t>Zero, e?</t>
  </si>
  <si>
    <t>15:16-15:17</t>
  </si>
  <si>
    <t>15:17-15:22</t>
  </si>
  <si>
    <t>Zero as well. Student 10’s group, a?</t>
  </si>
  <si>
    <t>15:23-15:24</t>
  </si>
  <si>
    <t xml:space="preserve">Student 10: </t>
  </si>
  <si>
    <t xml:space="preserve">One </t>
  </si>
  <si>
    <t>15:24-15:25</t>
  </si>
  <si>
    <t>A one, b?</t>
  </si>
  <si>
    <t>15:25-15:26</t>
  </si>
  <si>
    <t>15:26-15:27</t>
  </si>
  <si>
    <t>A one, c?</t>
  </si>
  <si>
    <t>15:27-15:28</t>
  </si>
  <si>
    <t>15:28-15:29</t>
  </si>
  <si>
    <t>15:29-15:30</t>
  </si>
  <si>
    <t>Student 10:</t>
  </si>
  <si>
    <t>15:30-15:31</t>
  </si>
  <si>
    <t>E?</t>
  </si>
  <si>
    <t>15:31-15:32</t>
  </si>
  <si>
    <t>15:32-15:35</t>
  </si>
  <si>
    <t>Thank you very much. Now student 11’s group again, a?</t>
  </si>
  <si>
    <t>15:35-15:36</t>
  </si>
  <si>
    <t xml:space="preserve">Student 11: </t>
  </si>
  <si>
    <t>One</t>
  </si>
  <si>
    <t>15:36-15:37</t>
  </si>
  <si>
    <t>15:37-15:38</t>
  </si>
  <si>
    <t>15:38-15:39</t>
  </si>
  <si>
    <t>C?</t>
  </si>
  <si>
    <t>15:40-15:43</t>
  </si>
  <si>
    <t>15:43-15:44</t>
  </si>
  <si>
    <t>15:44-15:45</t>
  </si>
  <si>
    <t>15:45-15:46</t>
  </si>
  <si>
    <t>15:46-15:47</t>
  </si>
  <si>
    <t>Student 11:</t>
  </si>
  <si>
    <t>15:47-15:51</t>
  </si>
  <si>
    <t>Thank you. Next group.</t>
  </si>
  <si>
    <t>15:51-15:52</t>
  </si>
  <si>
    <t xml:space="preserve">Student 12: </t>
  </si>
  <si>
    <t>A one?</t>
  </si>
  <si>
    <t>15:52-15:53</t>
  </si>
  <si>
    <t>15:53-15:54</t>
  </si>
  <si>
    <t>C one, d?</t>
  </si>
  <si>
    <t>15:54-15:55</t>
  </si>
  <si>
    <t>15:55-15:56</t>
  </si>
  <si>
    <t>D zero, e?</t>
  </si>
  <si>
    <t>15:57-15:58</t>
  </si>
  <si>
    <t>15:58-16:37</t>
  </si>
  <si>
    <t>16:38-17:08</t>
  </si>
  <si>
    <t xml:space="preserve">Student 13: </t>
  </si>
  <si>
    <t>Uh I don't give a mark because, (Inaudible)</t>
  </si>
  <si>
    <t>17:09-18:05</t>
  </si>
  <si>
    <t xml:space="preserve">Student 14: </t>
  </si>
  <si>
    <t>From the..... I think it's different form the model answer that recycling is a question of morality because uh the reason why which politicians support this is uh because they think recycling can uh can uh they can... But there's more of this, the meaning of the answer is different from the model answer (Inaudible)</t>
  </si>
  <si>
    <t>18:06-18:14</t>
  </si>
  <si>
    <t>Okay. So, you heard that? What they said. What do you say?</t>
  </si>
  <si>
    <t>18:14-18:41</t>
  </si>
  <si>
    <t xml:space="preserve">Student 15: </t>
  </si>
  <si>
    <t xml:space="preserve">I think </t>
  </si>
  <si>
    <t>18:42-19:06</t>
  </si>
  <si>
    <t>19:25-20:06</t>
  </si>
  <si>
    <t xml:space="preserve">Student 16: </t>
  </si>
  <si>
    <t>So, I think from the question, uh, what does the.... reason... zero waste policy then I answered it is moral. I think from the connection to the question, it doesn't really referring to recycling in the subject morality (Inaudible)</t>
  </si>
  <si>
    <t>20:07-20:19</t>
  </si>
  <si>
    <t>So is the subject again. So, you still insist on a zero. Okay how about this group, did you give a zero or a one?</t>
  </si>
  <si>
    <t xml:space="preserve">Student 17: </t>
  </si>
  <si>
    <t>(Mumbles) One</t>
  </si>
  <si>
    <t xml:space="preserve">Teacher </t>
  </si>
  <si>
    <t>20:07-20:29</t>
  </si>
  <si>
    <t>Oh zero. You are a supporter. Explain.</t>
  </si>
  <si>
    <t>20:30-20:52</t>
  </si>
  <si>
    <t>20:52-21:02</t>
  </si>
  <si>
    <t>Okay. What is the difference between it is moral and b, it is a moral question?</t>
  </si>
  <si>
    <t>21:02-21:06</t>
  </si>
  <si>
    <t>(Inaudible)</t>
  </si>
  <si>
    <t>21:06-21:08</t>
  </si>
  <si>
    <t>A and b are they the same or are they different?</t>
  </si>
  <si>
    <t>21:08-21:11</t>
  </si>
  <si>
    <t>21:11-21:46</t>
  </si>
  <si>
    <t>21:47-21:48</t>
  </si>
  <si>
    <t xml:space="preserve">Student 18: </t>
  </si>
  <si>
    <t>I think it’s one</t>
  </si>
  <si>
    <t>21:49-21:52</t>
  </si>
  <si>
    <t>Mmh mmh, then be confident. I think it is one!</t>
  </si>
  <si>
    <t>21:52-21:53</t>
  </si>
  <si>
    <t xml:space="preserve">I think it is one </t>
  </si>
  <si>
    <t>21:53-21:59</t>
  </si>
  <si>
    <t>Good, why?</t>
  </si>
  <si>
    <t>22:00-22:12</t>
  </si>
  <si>
    <t xml:space="preserve">The answer (inaudible) </t>
  </si>
  <si>
    <t>22:13-22:53</t>
  </si>
  <si>
    <t>22:53-22:54</t>
  </si>
  <si>
    <t xml:space="preserve">Student 19: </t>
  </si>
  <si>
    <t xml:space="preserve">Moral </t>
  </si>
  <si>
    <t>22:54-28:40</t>
  </si>
  <si>
    <t>28:41-28:43</t>
  </si>
  <si>
    <t xml:space="preserve">Student 20: </t>
  </si>
  <si>
    <t>Uh. Zero</t>
  </si>
  <si>
    <t>28:43-28:44</t>
  </si>
  <si>
    <t>B?</t>
  </si>
  <si>
    <t>28:44-28:45</t>
  </si>
  <si>
    <t>28:45-28:46</t>
  </si>
  <si>
    <t>28:46-28:47</t>
  </si>
  <si>
    <t>28:47-28:48</t>
  </si>
  <si>
    <t>28:48-28:49</t>
  </si>
  <si>
    <t>28:49-28:50</t>
  </si>
  <si>
    <t>28:50-28:51</t>
  </si>
  <si>
    <t>28:51-28:52</t>
  </si>
  <si>
    <t>28:52-28:53</t>
  </si>
  <si>
    <t>28:53-28:58</t>
  </si>
  <si>
    <t>Uh. Anyone at the back?</t>
  </si>
  <si>
    <t>28:58-28:59</t>
  </si>
  <si>
    <t xml:space="preserve">Student 21: </t>
  </si>
  <si>
    <t>28:59-29:00</t>
  </si>
  <si>
    <t>Zero. B?</t>
  </si>
  <si>
    <t>29:00-29:01</t>
  </si>
  <si>
    <t>29:01-29:02</t>
  </si>
  <si>
    <t>29:02-29:03</t>
  </si>
  <si>
    <t>29:03-29:04</t>
  </si>
  <si>
    <t>29:04-29:05</t>
  </si>
  <si>
    <t>29:05-29:08</t>
  </si>
  <si>
    <t>D zero. E?</t>
  </si>
  <si>
    <t>29:08-29:09</t>
  </si>
  <si>
    <t>29:09-29:10</t>
  </si>
  <si>
    <t>Zero. F?</t>
  </si>
  <si>
    <t>29:10-29:11</t>
  </si>
  <si>
    <t>29:11-29:14</t>
  </si>
  <si>
    <t>One, student 22’s group, a?</t>
  </si>
  <si>
    <t>29:14-29:15</t>
  </si>
  <si>
    <t xml:space="preserve">Student 22: </t>
  </si>
  <si>
    <t>29:15-29:16</t>
  </si>
  <si>
    <t>A one. B?</t>
  </si>
  <si>
    <t>29:16-29:17</t>
  </si>
  <si>
    <t>29:17-29:18</t>
  </si>
  <si>
    <t>One. C?</t>
  </si>
  <si>
    <t>29:18-29:19</t>
  </si>
  <si>
    <t>29:19-29:20</t>
  </si>
  <si>
    <t>One. D?</t>
  </si>
  <si>
    <t>29:20-29:21</t>
  </si>
  <si>
    <t>29:21-29:22</t>
  </si>
  <si>
    <t>29:22-29:23</t>
  </si>
  <si>
    <t>29:23-29:25</t>
  </si>
  <si>
    <t>29:25-29:26</t>
  </si>
  <si>
    <t>29:26-29:32</t>
  </si>
  <si>
    <t>One. Okay. Uh, student 23’s group a?</t>
  </si>
  <si>
    <t>29:32-29:33</t>
  </si>
  <si>
    <t xml:space="preserve">Student 23: </t>
  </si>
  <si>
    <t>29:33-29:34</t>
  </si>
  <si>
    <t>29:34-29:35</t>
  </si>
  <si>
    <t>29:35-29:36</t>
  </si>
  <si>
    <t>Zero. C?</t>
  </si>
  <si>
    <t>29:36-29:37</t>
  </si>
  <si>
    <t>29:37-29:38</t>
  </si>
  <si>
    <t>29:38-29:39</t>
  </si>
  <si>
    <t>29:39-29:40</t>
  </si>
  <si>
    <t>Zero. E?</t>
  </si>
  <si>
    <t>29:40-29:41</t>
  </si>
  <si>
    <t>29:41-29:42</t>
  </si>
  <si>
    <t>29:42-29:43</t>
  </si>
  <si>
    <t>29:43-30:23</t>
  </si>
  <si>
    <t>30:24-30:33</t>
  </si>
  <si>
    <t>We should mention that uh there is like improvement in protecting the environment or something similar.</t>
  </si>
  <si>
    <t>30:34-31:20</t>
  </si>
  <si>
    <t>31:21-31:22</t>
  </si>
  <si>
    <t xml:space="preserve">Oscar: </t>
  </si>
  <si>
    <t>31:22-31:34</t>
  </si>
  <si>
    <t>31:35-31:44</t>
  </si>
  <si>
    <t>Because the uh (inaudible) um. It’s like…</t>
  </si>
  <si>
    <t>31:44-31:47</t>
  </si>
  <si>
    <t>Can you speak louder. You already have the mic.</t>
  </si>
  <si>
    <t>31:47-31:05</t>
  </si>
  <si>
    <t>Uh. I think that. Uh. He didn’t show the understanding (inaudible)</t>
  </si>
  <si>
    <t>32:06-32:26</t>
  </si>
  <si>
    <t>32:27-32:34</t>
  </si>
  <si>
    <t xml:space="preserve">Student 24: </t>
  </si>
  <si>
    <t>Um. Um (inaudible)</t>
  </si>
  <si>
    <t>32:35-32:44</t>
  </si>
  <si>
    <t>32:45-32:48</t>
  </si>
  <si>
    <t>Um. I think…</t>
  </si>
  <si>
    <t>32:48-32:49</t>
  </si>
  <si>
    <t>You can ask them to repeat as well.</t>
  </si>
  <si>
    <t>32:53-32:56</t>
  </si>
  <si>
    <t>(Mumbles)</t>
  </si>
  <si>
    <t>32:57-33:03</t>
  </si>
  <si>
    <t>I knew it. Just say it aloud! Just say it aloud!</t>
  </si>
  <si>
    <t>33:03-33:22</t>
  </si>
  <si>
    <t>(Inaudible) (laughter). Because the candidate. He didn’t show that he understands (Inaudible)</t>
  </si>
  <si>
    <t>33:23-34:26</t>
  </si>
  <si>
    <t>34:27-34:44</t>
  </si>
  <si>
    <t xml:space="preserve">Sharon: </t>
  </si>
  <si>
    <t>Umm. I think the ..(Inaudible) Uh. They didn’t mention uhm. How…</t>
  </si>
  <si>
    <t>34:44-34:46</t>
  </si>
  <si>
    <t>They need to mention recycling. Mmh. You’re getting there.</t>
  </si>
  <si>
    <t>34:46-34:49</t>
  </si>
  <si>
    <t>34:50-35:05</t>
  </si>
  <si>
    <t>Alright. You have to mention how recycling helps as well. In addition to a.</t>
  </si>
  <si>
    <t>35:06-35:10</t>
  </si>
  <si>
    <t>I’ve changed my mind (Inaudible) (laughter)</t>
  </si>
  <si>
    <t>35:11-35:22</t>
  </si>
  <si>
    <t>35:23-36:03</t>
  </si>
  <si>
    <t>36:04-37:58</t>
  </si>
  <si>
    <t>37:59-38:01</t>
  </si>
  <si>
    <t xml:space="preserve">Student 35: </t>
  </si>
  <si>
    <t>Uh b and c</t>
  </si>
  <si>
    <t>38:01-38:02</t>
  </si>
  <si>
    <t>C.</t>
  </si>
  <si>
    <t>38:02-38:04</t>
  </si>
  <si>
    <t>Most of…</t>
  </si>
  <si>
    <t>38:04-38:08</t>
  </si>
  <si>
    <t>D. E.</t>
  </si>
  <si>
    <t>38:08-38:21</t>
  </si>
  <si>
    <t>(Inaudible) it doesn’t directly refer to…</t>
  </si>
  <si>
    <t>38:22-39:26</t>
  </si>
  <si>
    <t>39:26-39:27</t>
  </si>
  <si>
    <t>No specific mark for that.</t>
  </si>
  <si>
    <t>39:27-41:58</t>
  </si>
  <si>
    <t>Um. (Inaudible) um. I think um the incorrect spelling …uh .. in a..</t>
  </si>
  <si>
    <t>Uh, well, we have the, uh well we have the same view on like the answer sheet is quite like the (Inaudible) question of moralities. No discussing like, it is moral…</t>
  </si>
  <si>
    <t>They are the same</t>
  </si>
  <si>
    <t>00:02-00:53</t>
  </si>
  <si>
    <t>00:55-01:23</t>
  </si>
  <si>
    <t>Yes, could you explain to us why this shouldn’t be accepted? Yes, should not. Why a zero? (Student’s name) could you make sure everyone else also gets a copy. Some of you …. Existing…. (Inaudible)</t>
  </si>
  <si>
    <t>I think (Inaudible)</t>
  </si>
  <si>
    <t>Because in the answer. Uh. There are two uh ….there are two (inaudible) they predicted both flourish and industry (inaudible)</t>
  </si>
  <si>
    <t>Okay, so it’s the wrong subjects being referred to?</t>
  </si>
  <si>
    <t>Um. So I think referring to the (noise), the is actually referring to the modern (Inaudible) paragraph 2 line 8…</t>
  </si>
  <si>
    <t>03:42-03:43</t>
  </si>
  <si>
    <t>02:55-03:40</t>
  </si>
  <si>
    <t>03:41-03:42</t>
  </si>
  <si>
    <t>word</t>
    <phoneticPr fontId="4" type="noConversion"/>
  </si>
  <si>
    <t>APT moves</t>
    <phoneticPr fontId="4" type="noConversion"/>
  </si>
  <si>
    <t>Say more(T3)</t>
  </si>
  <si>
    <t>Revoice(T1)</t>
  </si>
  <si>
    <t>Press for reasoning(T2)</t>
  </si>
  <si>
    <t>Challenge(T4)</t>
  </si>
  <si>
    <t>Restate(1678976054)</t>
  </si>
  <si>
    <t>Agree/Disagree(1678976089)</t>
  </si>
  <si>
    <t>Add on(1678976097)</t>
  </si>
  <si>
    <t>Explain others(T5)</t>
  </si>
  <si>
    <t>Number</t>
    <phoneticPr fontId="4" type="noConversion"/>
  </si>
  <si>
    <t>Time</t>
    <phoneticPr fontId="4" type="noConversion"/>
  </si>
  <si>
    <t>Speaker</t>
    <phoneticPr fontId="4" type="noConversion"/>
  </si>
  <si>
    <t>Utterance</t>
    <phoneticPr fontId="4" type="noConversion"/>
  </si>
  <si>
    <t>00:00-00:01</t>
    <phoneticPr fontId="4" type="noConversion"/>
  </si>
  <si>
    <t xml:space="preserve">Student 1: </t>
    <phoneticPr fontId="4" type="noConversion"/>
  </si>
  <si>
    <t>Yeah yeah</t>
    <phoneticPr fontId="4" type="noConversion"/>
  </si>
  <si>
    <t>sum</t>
  </si>
  <si>
    <t>Teachers' total words</t>
  </si>
  <si>
    <t>Students' total words</t>
  </si>
  <si>
    <t>Total turns</t>
  </si>
  <si>
    <t>No. of teachers' turn</t>
  </si>
  <si>
    <t>No. of students' turn</t>
  </si>
  <si>
    <t xml:space="preserve">Teacher: </t>
    <phoneticPr fontId="4" type="noConversion"/>
  </si>
  <si>
    <t>Okay, thank you. Why did this, the author’s opponents disagree with him? So, I just copied whatever you put down in your answers from punctuation marks you used to spelling mistakes that you had, okay? Everything unchanged for the most accurate judgement. Uh. So according to what you said just now, rushing to judgement is unfair to the recycling process, everyone said a zero. Why? (Silence) Anyway, did your group say zero?</t>
    <phoneticPr fontId="4" type="noConversion"/>
  </si>
  <si>
    <t>Yeah. So, we only have this part here but we don’t have any one of the reasons stated that’s why it’s a zero. Okay so we can put it down to confirm. Now everyone should have their own, uh, handouts. Anyone who doesn’t? Thank you. Uh. Please find some space to state the reason for yourself. The reason for not getting a mark is because there’s no reason. Okay. Uh. Question b they predicted the recycling movement that began few years ago would flourish as the industry matured. Uh. Who gave a zero? Which group did it?</t>
    <phoneticPr fontId="4" type="noConversion"/>
  </si>
  <si>
    <t>So this is what they said. Obviously we have some disagreements here so I’ll invite opinions from other groups who gave a one as well. Right so once again they said no mark should be given because the wrong subject is being referred to. Those who disagree please defend yourselves. Thank you. May I ask whether your group disagrees or want to...</t>
    <phoneticPr fontId="4" type="noConversion"/>
  </si>
  <si>
    <t>Okay so now we have a totally contradictory opinion. The correct subject is being referred to. How about the others making the same judgement opinion 1 is that your same reason or do you have a different supporting your decision or keeping one hand. So I think uh the second group just now they have done the professional thing, by always referring to the reading passage when you want to find out, uh, whether your judgement is correc. That’s why you should always have a reading passage. Uh. How about your group? Mmmh mmh. They gave one mark as well, is it because of the same reason or a different one?</t>
    <phoneticPr fontId="4" type="noConversion"/>
  </si>
  <si>
    <t xml:space="preserve">Mmmh. Thank you. And … most of the key words which which are spelt correctly that’s why you give one. Okay, so any other opinions? Any groups that I didn’t interview also give a zero? I think we have a lesson learnt today from this … and the debate just now was exactly the reason why I printed this version. Uh, it took me a while to settle on whether it got a zero or one. So, lesson learnt number 1 learn before I reveal the answer, make sure the answer you put down in the uh paper one, is an answer that doesn’t make the marker think too much. This is an answer that makes the marker think and guess and think and guess. Alright remember what the marker faces everyday in a marking centre is deadlines. Today you have to finish marking 300 scripts in 2 hours that’s what they tell us over the mic in the marking centre which is so cold btw and it’s so late already after a whole day of work at school and then at 6pm you go to the marking centre oh finish this 300 scripts and then you’re already half way, already halfway through and then they tell you some people have finished marking. Uh but some people are just halfway there. They tell you this over the mic. So, think about your marker. They're already tired tomorrow they still have work, at night they have children at home to cook for, and you give them something to think about unnecessarily. Okay? So, lesson number 2. I covered for you all these lessons number 1, 2, 3 because afterwards </t>
    <phoneticPr fontId="4" type="noConversion"/>
  </si>
  <si>
    <t>Mmh. I think that's a very good question thank you, why did the opponents disagree with him? They predicted the recycling movement that begin a few years ago would flourish as the industry matured. They predicted the recycling movement. I would then be looking at this part of the marking scheme as the modern recycling movement had only began a few years earlier. Its effectiveness would not yet be apparent. So, if I compare what I have here. With what they provided here, I think it's close, it's close that’s why I said this is an answer booklet that...mainly the centre uses and make the other markers use this so it all depends on when we markers are not sure we give each unique case to the chief examiner. And the chief examiner who is an expert thinks this is not... This is.... And this is.... Because they have all this information in their minds. Of the... (Inaudible). They make the correct judgement. Alright, we want.... Let's look at the rest and then we come back to your opinion again in other questions alright. They believe that was too early to judge I think that's too simplistic that why I wouldn't give a mark. I think the recycling process will be mature in the future and.. Yeah I think it's okay, close to what we have in the (Inaudible) definition. So this is a misspelt non keyword but there is some language issues here as well. They think under recycling would flourish, under recycling would flourish.</t>
    <phoneticPr fontId="4" type="noConversion"/>
  </si>
  <si>
    <t>Exactly, it doesn't make sense exactly so its language inaccuracy affecting the validity of your answer. I repeat put it down yourself, language inaccuracy affecting marker's understanding. Language inaccuracy. I-n-a-c-c-u-r-a-c-y, affecting marker's understanding. Under recycling is not discovered, it shouldn't flourish. And obviously have to do with (Inaudible) so any questions about this item......? Item eleven sub question 1, the question is "what does the writer think is the reason politicians support a zero waste (Inaudible) student 8‘s group, a?</t>
    <phoneticPr fontId="4" type="noConversion"/>
  </si>
  <si>
    <t>E, one thank you. Okay. A, what does the writer think was the reason why it is moral. This... 11 a it is moral. We can start with we gave a mark or we didn't give a mark because.</t>
    <phoneticPr fontId="4" type="noConversion"/>
  </si>
  <si>
    <t>Okay. Do we have other people supporting the candidates answer for a different reason? We are looking for something else. Okay. So how would you respond to what they have said?</t>
    <phoneticPr fontId="4" type="noConversion"/>
  </si>
  <si>
    <t>So this group did you give a, you give a one?.... Alright wonderful so uh. For a, for a, you have listened to Martin’s group, you have listened to Jeremy’s group they both gave zero, you have also listened to Lester's group who gave a one. Personally, what do you think? Whose side would do you take? Are you swayed by Martin's group or do you also stand firm on your one for a, a.</t>
    <phoneticPr fontId="4" type="noConversion"/>
  </si>
  <si>
    <t>Okay, I think I know what you are getting to, so uh, supporting a zero-waste policy you support recycling, virtually. And that’s why it is a question about whether you are moral or not, whether you recycle or not and when you support zero waste, when you support recycling so that means are you moral or not moral? (Inaudible) Just wake him up. When you support recycling are you moral or not moral? Moral?</t>
    <phoneticPr fontId="4" type="noConversion"/>
  </si>
  <si>
    <t>Moral. You don’t have to look elsewhere this is common sense okay. So quite likely if you are a, uh, consistent marker, if you give a mark here, you would probably give a mark here as well for both a and b because they are basically the same thing, same meaning. If you are a consistent marker. But I also get why some of you give a zero here, because it’s quite short comparatively speaking these are longer and seems to be more uh, seems to make it easier for the marker to make sense of what you are saying. So, lesson learnt. This gets a mark. This gets a mark. But. But we also have more effective answers b, and less effective, although correct answers a. Alright. So, learn from b. if you are the marker and you see b, immediately you would put down a tick just like these 4 groups, it’s undebatable. There’s no need to second guess. Very very clear. A. Should I or should I not? Zero or one? Uh. The other three, again to save time… c, the morality of recycling at this point you must ask yourself a question. How different is it from a and b? I think it isn’t really, directly addressing the question. So, I agree with three of the groups here. Because again compared to b, a clear answer appears to be. It seems like. Well, it’s kind of addressing the question and not at the same time. Mmh. Not really a complete sentence. Not really a complete meaning I would say. It shows politicians have good morals, distorting what the passage is about. B, you can put it yourself. The passage does not suggest anything in d. E. Uh again, I struggled a lot. I struggled for a long time when I looked at e. but eventually, I gave a zero. So even though it has the keyword morality, I think it’s overinterpreting the uh, reading passage. O-v-e-r-i-n-t-e-r-p-r-e-t-i-n-g. Overinterpretation. Okay. Remember for paper one, the overarching rule is show your standing of the reading material. So overinterpretation, misinterpretation or something totally not there, that is not understanding of the reading material. Does anyone need me to repeat any points for your reflection box? Your hand should be busy. Writing. Writing. Writing. Writing. Writing. Writing. Not checking your glasses. Thank you. You are missing out a lot if you are still compressing each other. Item 16, what is ironic about the outcome described in paragraph 15. Use your own words to explain. I included this question here because this is usually the 5-star, 5 double star question type. Separating the elite candidates from the rest. Because you see the word irony or ironic. If you still don’t know what it is, I think the noun form is irony, please make sure you now do. Sometimes you are asked, what is the irony in this sentence? Irony. Now or what is ironic about this sentence? Actually, they are asking about the same reading strategy and skills So answer 16. A. student 20's group?</t>
    <phoneticPr fontId="4" type="noConversion"/>
  </si>
  <si>
    <t>One. A. Zero, zero, one, zero. Recycling operations still have consequences that harm the environment. When recycling. Is it clear enough to show number one the candidates understanding of the passage and number two the understanding of the question irony?</t>
    <phoneticPr fontId="4" type="noConversion"/>
  </si>
  <si>
    <t>Okay. I will respond to that. I want them to think as well. So, I repeat. Does this show the candidate’s understanding of the passage? And number two, does this show the candidate’s understanding of the question’s requirements. Showing the irony? Oscar. Did your group get a zero or one?</t>
    <phoneticPr fontId="4" type="noConversion"/>
  </si>
  <si>
    <t>Mmh. Would you be convinced? For those who gave a one. Class, which group give a one? Alright, are you convinced by what they said? Thank you. I want. Uh. Student 24, to come.</t>
    <phoneticPr fontId="4" type="noConversion"/>
  </si>
  <si>
    <t>Yes, and I asked before I passed the mic to him. How so? How does this not understand? Right. Because if you are this candidate, you think okay, I think I deserve one mark. This is an internal exam. And you come and ask me the teacher, oh because I think you don’t understand. And then I shut you down immediately. Would you be convinced and would you have learnt anything? From such a response. I don't think so. So, uh. Before this group gives a response, how about inviting another group that gave us zero to. Uh. Elaborate. Sharon. A. I think you can do it yourself capably.</t>
    <phoneticPr fontId="4" type="noConversion"/>
  </si>
  <si>
    <t>Uh. The question is asking about, what is the point of irony. And uh, I think in the answer a you should mention just. Uh. What Sharon was saying. Um, she mentioned like the recycling operation are helping in something like reducing pollution and the …. Of the recycling operation have some consequences (Inaudible)</t>
    <phoneticPr fontId="4" type="noConversion"/>
  </si>
  <si>
    <t>Mmh. Okay. Thank you. So I think you should jot this down in your notes for any future questions like this. You will always come across a question about irony. Alright. You can tell from the marking scheme. Marking scheme states out already, right. You have uh. While. Cohesive device. You have learnt cohesive devices? Yes. While, a positive. And then on the other hand we have b, negative. That's why there's an irony. Recycling on one hand is supposed to be good to the environment. reduce pollution et cetera. But then it also brings undesirable effects such as these swamps. That the irony of recycling. So to summarise, this you definitely have to put down. An irony question is a, requires a two-part answer. Like this marking scheme. This is important that's why I'm not repeating myself. Always. Always. All the time. So, with that in mind, which of the remaining variations to f fulfils the requirement accept above for irony answers?</t>
    <phoneticPr fontId="4" type="noConversion"/>
  </si>
  <si>
    <t>What … myself. This is a zero. Good. But. Alright. C. obviously check the box, we have on one hand. We have on the other hand. And there is some textual evidence from the reading passage. These are the problems mentioned in the reading passage. So, it um. Fix the bill. Why did I not give a point to this? Mmh?</t>
    <phoneticPr fontId="4" type="noConversion"/>
  </si>
  <si>
    <t xml:space="preserve">Okay. Thank you. (Inaudible). I don’t really understand. This one. You said yes, I said no. Why not? The facility is meant to reduce pollution cost more of it. I think this part is okay we have half. Then what about the other half? The facilities meant to reduce pollution. What facilities? Can I have someone just saying just a little bit something more specific. Okay. For example, recycling facility. This one, what can I say? Zero. Recycling is supposed to protect the environment. They have it here. What is the original wording? Check your reading passage. Compost, with a letter “t”. this is composed. Which is a totally different meaning. You compose music. You write music. You compose music. Composition. Writing assignments. You compose, of written t’s. This is compost with a t. You have totally changed the meaning because of a misspelt word. No mark. So, this one is. It’s kind of a keyword and the mistake here is more serious than this one because it changes the entire meaning. I think you should write it down yourself. This misspelling changes the entire meaning, so no mark. </t>
    <phoneticPr fontId="4" type="noConversion"/>
  </si>
  <si>
    <t>Okay. Wow, you have successfully changed their mind. You have changed four people’s mind. You are so influential. You are … today. Alright. Anyway, tell us.</t>
    <phoneticPr fontId="4" type="noConversion"/>
  </si>
  <si>
    <t>You gave a one. Now that you have listened to…</t>
    <phoneticPr fontId="4" type="noConversion"/>
  </si>
  <si>
    <t>Zero. Okay. So that means you don't think the candidate understands the question or the passage. How?</t>
    <phoneticPr fontId="4" type="noConversion"/>
  </si>
  <si>
    <t>Yes, you gave a one mark. That why I am asking are you convinced by the reason for not giving one mark?</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</si>
</sst>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等线"/>
      <family val="2"/>
      <scheme val="minor"/>
    </font>
    <font>
      <sz val="12"/>
      <color theme="1"/>
      <name val="Calibri"/>
      <family val="2"/>
    </font>
    <font>
      <sz val="12"/>
      <color rgb="FF000000"/>
      <name val="Calibri"/>
      <family val="2"/>
    </font>
    <font>
      <b/>
      <sz val="12"/>
      <color theme="1"/>
      <name val="Calibri"/>
      <family val="2"/>
    </font>
    <font>
      <sz val="9"/>
      <name val="等线"/>
      <family val="3"/>
      <charset val="134"/>
      <scheme val="minor"/>
    </font>
    <font>
      <sz val="12"/>
      <color theme="1"/>
      <name val="Helvetica"/>
      <family val="2"/>
    </font>
    <font>
      <sz val="11"/>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2" fillId="0" borderId="0" xfId="0" applyFont="1" applyAlignment="1">
      <alignment horizontal="justify" vertical="center"/>
    </xf>
    <xf numFmtId="0" fontId="2" fillId="0" borderId="0" xfId="0" applyFont="1" applyAlignment="1">
      <alignment horizontal="left" vertical="top"/>
    </xf>
    <xf numFmtId="0" fontId="1" fillId="0" borderId="0" xfId="0" applyFont="1" applyAlignment="1">
      <alignment horizontal="justify" vertical="center"/>
    </xf>
    <xf numFmtId="0" fontId="1" fillId="0" borderId="0" xfId="0" applyFont="1" applyAlignment="1">
      <alignment horizontal="left" vertical="top"/>
    </xf>
    <xf numFmtId="0" fontId="0" fillId="0" borderId="0" xfId="0" applyAlignment="1">
      <alignment horizontal="left" vertical="top"/>
    </xf>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xf>
    <xf numFmtId="0" fontId="3" fillId="0" borderId="0" xfId="0" applyFont="1" applyAlignment="1">
      <alignment horizontal="center" vertical="center"/>
    </xf>
    <xf numFmtId="0" fontId="3" fillId="0" borderId="0" xfId="0" applyFont="1" applyAlignment="1">
      <alignment vertical="center"/>
    </xf>
    <xf numFmtId="0" fontId="5" fillId="0" borderId="0" xfId="0" applyFont="1"/>
    <xf numFmtId="0" fontId="6"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65CC-B9CC-426E-BE29-19361C7ECE2F}">
  <dimension ref="A1:M175"/>
  <sheetViews>
    <sheetView tabSelected="1" topLeftCell="C1" zoomScale="75" zoomScaleNormal="100" workbookViewId="0">
      <pane ySplit="2" topLeftCell="A155" activePane="bottomLeft" state="frozen"/>
      <selection activeCell="C1" sqref="C1"/>
      <selection pane="bottomLeft" activeCell="K183" sqref="K178:K183"/>
    </sheetView>
  </sheetViews>
  <sheetFormatPr baseColWidth="10" defaultColWidth="8.83203125" defaultRowHeight="15"/>
  <cols>
    <col min="1" max="1" width="9.1640625" style="1"/>
    <col min="2" max="2" width="12.6640625" style="9" customWidth="1"/>
    <col min="3" max="3" width="18.5" customWidth="1"/>
    <col min="4" max="4" width="22.83203125" style="6" customWidth="1"/>
  </cols>
  <sheetData>
    <row r="1" spans="1:13" ht="16">
      <c r="A1" s="10" t="s">
        <v>285</v>
      </c>
      <c r="B1" s="10" t="s">
        <v>286</v>
      </c>
      <c r="C1" s="10" t="s">
        <v>287</v>
      </c>
      <c r="D1" s="10" t="s">
        <v>288</v>
      </c>
      <c r="E1" s="10" t="s">
        <v>275</v>
      </c>
      <c r="F1" s="10" t="s">
        <v>276</v>
      </c>
      <c r="G1" s="10"/>
      <c r="H1" s="10"/>
      <c r="I1" s="10"/>
      <c r="J1" s="10"/>
      <c r="K1" s="10"/>
      <c r="L1" s="10"/>
      <c r="M1" s="10"/>
    </row>
    <row r="2" spans="1:13" ht="16">
      <c r="A2" s="10"/>
      <c r="B2" s="10"/>
      <c r="C2" s="10"/>
      <c r="D2" s="10"/>
      <c r="E2" s="10"/>
      <c r="F2" s="11" t="s">
        <v>277</v>
      </c>
      <c r="G2" s="11" t="s">
        <v>278</v>
      </c>
      <c r="H2" s="11" t="s">
        <v>279</v>
      </c>
      <c r="I2" s="11" t="s">
        <v>280</v>
      </c>
      <c r="J2" s="11" t="s">
        <v>281</v>
      </c>
      <c r="K2" s="11" t="s">
        <v>282</v>
      </c>
      <c r="L2" s="11" t="s">
        <v>283</v>
      </c>
      <c r="M2" s="11" t="s">
        <v>284</v>
      </c>
    </row>
    <row r="3" spans="1:13" ht="17">
      <c r="A3" s="1">
        <v>1</v>
      </c>
      <c r="B3" s="7" t="s">
        <v>289</v>
      </c>
      <c r="C3" s="2" t="s">
        <v>290</v>
      </c>
      <c r="D3" s="3" t="s">
        <v>291</v>
      </c>
      <c r="E3" s="12">
        <f>LEN(D3)-LEN(SUBSTITUTE(D3," ",""))+1</f>
        <v>2</v>
      </c>
    </row>
    <row r="4" spans="1:13" ht="17">
      <c r="A4" s="1">
        <v>2</v>
      </c>
      <c r="B4" s="7" t="s">
        <v>265</v>
      </c>
      <c r="C4" s="4" t="s">
        <v>0</v>
      </c>
      <c r="D4" s="5" t="s">
        <v>299</v>
      </c>
      <c r="E4" s="12">
        <f t="shared" ref="E4:E67" si="0">LEN(D4)-LEN(SUBSTITUTE(D4," ",""))+1</f>
        <v>72</v>
      </c>
    </row>
    <row r="5" spans="1:13" ht="17">
      <c r="A5" s="1">
        <v>3</v>
      </c>
      <c r="B5" s="8" t="s">
        <v>1</v>
      </c>
      <c r="C5" s="4" t="s">
        <v>2</v>
      </c>
      <c r="D5" s="5" t="s">
        <v>3</v>
      </c>
      <c r="E5" s="12">
        <f t="shared" si="0"/>
        <v>1</v>
      </c>
    </row>
    <row r="6" spans="1:13" ht="17">
      <c r="A6" s="1">
        <v>4</v>
      </c>
      <c r="B6" s="8" t="s">
        <v>266</v>
      </c>
      <c r="C6" s="4" t="s">
        <v>0</v>
      </c>
      <c r="D6" s="5" t="s">
        <v>267</v>
      </c>
      <c r="E6" s="12">
        <f t="shared" si="0"/>
        <v>35</v>
      </c>
      <c r="M6">
        <v>1</v>
      </c>
    </row>
    <row r="7" spans="1:13" ht="17">
      <c r="A7" s="1">
        <v>5</v>
      </c>
      <c r="B7" s="8" t="s">
        <v>4</v>
      </c>
      <c r="C7" s="4" t="s">
        <v>5</v>
      </c>
      <c r="D7" s="5" t="s">
        <v>268</v>
      </c>
      <c r="E7" s="12">
        <f t="shared" si="0"/>
        <v>3</v>
      </c>
    </row>
    <row r="8" spans="1:13" ht="17">
      <c r="A8" s="1">
        <v>6</v>
      </c>
      <c r="B8" s="8" t="s">
        <v>6</v>
      </c>
      <c r="C8" s="4" t="s">
        <v>0</v>
      </c>
      <c r="D8" s="5" t="s">
        <v>300</v>
      </c>
      <c r="E8" s="12">
        <f t="shared" si="0"/>
        <v>97</v>
      </c>
    </row>
    <row r="9" spans="1:13" ht="17">
      <c r="A9" s="1">
        <v>7</v>
      </c>
      <c r="B9" s="8" t="s">
        <v>273</v>
      </c>
      <c r="C9" s="4" t="s">
        <v>7</v>
      </c>
      <c r="D9" s="5" t="s">
        <v>269</v>
      </c>
      <c r="E9" s="12">
        <f t="shared" si="0"/>
        <v>20</v>
      </c>
    </row>
    <row r="10" spans="1:13" ht="17">
      <c r="A10" s="1">
        <v>8</v>
      </c>
      <c r="B10" s="8" t="s">
        <v>274</v>
      </c>
      <c r="C10" s="4" t="s">
        <v>0</v>
      </c>
      <c r="D10" s="5" t="s">
        <v>8</v>
      </c>
      <c r="E10" s="12">
        <f t="shared" si="0"/>
        <v>4</v>
      </c>
    </row>
    <row r="11" spans="1:13" ht="17">
      <c r="A11" s="1">
        <v>9</v>
      </c>
      <c r="B11" s="8" t="s">
        <v>272</v>
      </c>
      <c r="C11" s="4" t="s">
        <v>7</v>
      </c>
      <c r="D11" s="5" t="s">
        <v>9</v>
      </c>
      <c r="E11" s="12">
        <f t="shared" si="0"/>
        <v>6</v>
      </c>
    </row>
    <row r="12" spans="1:13" ht="17">
      <c r="A12" s="1">
        <v>10</v>
      </c>
      <c r="B12" s="8" t="s">
        <v>10</v>
      </c>
      <c r="C12" s="4" t="s">
        <v>0</v>
      </c>
      <c r="D12" s="5" t="s">
        <v>270</v>
      </c>
      <c r="E12" s="12">
        <f t="shared" si="0"/>
        <v>9</v>
      </c>
      <c r="G12">
        <v>1</v>
      </c>
    </row>
    <row r="13" spans="1:13" ht="17">
      <c r="A13" s="1">
        <v>11</v>
      </c>
      <c r="B13" s="8" t="s">
        <v>11</v>
      </c>
      <c r="C13" s="4" t="s">
        <v>7</v>
      </c>
      <c r="D13" s="5" t="s">
        <v>3</v>
      </c>
      <c r="E13" s="12">
        <f t="shared" si="0"/>
        <v>1</v>
      </c>
    </row>
    <row r="14" spans="1:13" ht="17">
      <c r="A14" s="1">
        <v>12</v>
      </c>
      <c r="B14" s="8" t="s">
        <v>12</v>
      </c>
      <c r="C14" s="4" t="s">
        <v>0</v>
      </c>
      <c r="D14" s="5" t="s">
        <v>301</v>
      </c>
      <c r="E14" s="12">
        <f t="shared" si="0"/>
        <v>62</v>
      </c>
      <c r="K14">
        <v>1</v>
      </c>
    </row>
    <row r="15" spans="1:13" ht="17">
      <c r="A15" s="1">
        <v>13</v>
      </c>
      <c r="B15" s="8" t="s">
        <v>13</v>
      </c>
      <c r="C15" s="4" t="s">
        <v>14</v>
      </c>
      <c r="D15" s="5" t="s">
        <v>271</v>
      </c>
      <c r="E15" s="12">
        <f t="shared" si="0"/>
        <v>20</v>
      </c>
    </row>
    <row r="16" spans="1:13" ht="17">
      <c r="A16" s="1">
        <v>14</v>
      </c>
      <c r="B16" s="8" t="s">
        <v>15</v>
      </c>
      <c r="C16" s="4" t="s">
        <v>0</v>
      </c>
      <c r="D16" s="5" t="s">
        <v>302</v>
      </c>
      <c r="E16" s="12">
        <f t="shared" si="0"/>
        <v>111</v>
      </c>
      <c r="K16">
        <v>1</v>
      </c>
    </row>
    <row r="17" spans="1:5" ht="17">
      <c r="A17" s="1">
        <v>15</v>
      </c>
      <c r="B17" s="8" t="s">
        <v>16</v>
      </c>
      <c r="C17" s="4" t="s">
        <v>17</v>
      </c>
      <c r="D17" s="5" t="s">
        <v>262</v>
      </c>
      <c r="E17" s="12">
        <f t="shared" si="0"/>
        <v>13</v>
      </c>
    </row>
    <row r="18" spans="1:5" ht="17">
      <c r="A18" s="1">
        <v>16</v>
      </c>
      <c r="B18" s="8" t="s">
        <v>18</v>
      </c>
      <c r="C18" s="4" t="s">
        <v>0</v>
      </c>
      <c r="D18" s="5" t="s">
        <v>19</v>
      </c>
      <c r="E18" s="12">
        <f t="shared" si="0"/>
        <v>2</v>
      </c>
    </row>
    <row r="19" spans="1:5" ht="17">
      <c r="A19" s="1">
        <v>17</v>
      </c>
      <c r="B19" s="8" t="s">
        <v>20</v>
      </c>
      <c r="C19" s="4" t="s">
        <v>17</v>
      </c>
      <c r="D19" s="5" t="s">
        <v>21</v>
      </c>
      <c r="E19" s="12">
        <f t="shared" si="0"/>
        <v>21</v>
      </c>
    </row>
    <row r="20" spans="1:5" ht="17">
      <c r="A20" s="1">
        <v>18</v>
      </c>
      <c r="B20" s="8" t="s">
        <v>22</v>
      </c>
      <c r="C20" s="4" t="s">
        <v>0</v>
      </c>
      <c r="D20" s="5" t="s">
        <v>303</v>
      </c>
      <c r="E20" s="12">
        <f t="shared" si="0"/>
        <v>279</v>
      </c>
    </row>
    <row r="21" spans="1:5" ht="17">
      <c r="A21" s="1">
        <v>19</v>
      </c>
      <c r="B21" s="8" t="s">
        <v>23</v>
      </c>
      <c r="C21" s="4" t="s">
        <v>24</v>
      </c>
      <c r="D21" s="5" t="s">
        <v>25</v>
      </c>
      <c r="E21" s="12">
        <f t="shared" si="0"/>
        <v>43</v>
      </c>
    </row>
    <row r="22" spans="1:5" ht="17">
      <c r="A22" s="1">
        <v>20</v>
      </c>
      <c r="B22" s="8" t="s">
        <v>26</v>
      </c>
      <c r="C22" s="4" t="s">
        <v>0</v>
      </c>
      <c r="D22" s="5" t="s">
        <v>304</v>
      </c>
      <c r="E22" s="12">
        <f t="shared" si="0"/>
        <v>256</v>
      </c>
    </row>
    <row r="23" spans="1:5" ht="17">
      <c r="A23" s="1">
        <v>21</v>
      </c>
      <c r="B23" s="8" t="s">
        <v>27</v>
      </c>
      <c r="C23" s="4" t="s">
        <v>28</v>
      </c>
      <c r="D23" s="5" t="s">
        <v>29</v>
      </c>
      <c r="E23" s="12">
        <f t="shared" si="0"/>
        <v>6</v>
      </c>
    </row>
    <row r="24" spans="1:5" ht="17">
      <c r="A24" s="1">
        <v>22</v>
      </c>
      <c r="B24" s="8" t="s">
        <v>30</v>
      </c>
      <c r="C24" s="4" t="s">
        <v>31</v>
      </c>
      <c r="D24" s="5" t="s">
        <v>305</v>
      </c>
      <c r="E24" s="12">
        <f t="shared" si="0"/>
        <v>80</v>
      </c>
    </row>
    <row r="25" spans="1:5" ht="17">
      <c r="A25" s="1">
        <v>23</v>
      </c>
      <c r="B25" s="8" t="s">
        <v>32</v>
      </c>
      <c r="C25" s="4" t="s">
        <v>33</v>
      </c>
      <c r="D25" s="5" t="s">
        <v>34</v>
      </c>
      <c r="E25" s="12">
        <f t="shared" si="0"/>
        <v>1</v>
      </c>
    </row>
    <row r="26" spans="1:5" ht="17">
      <c r="A26" s="1">
        <v>24</v>
      </c>
      <c r="B26" s="8" t="s">
        <v>35</v>
      </c>
      <c r="C26" s="4" t="s">
        <v>0</v>
      </c>
      <c r="D26" s="5" t="s">
        <v>36</v>
      </c>
      <c r="E26" s="12">
        <f t="shared" si="0"/>
        <v>6</v>
      </c>
    </row>
    <row r="27" spans="1:5" ht="17">
      <c r="A27" s="1">
        <v>25</v>
      </c>
      <c r="B27" s="8" t="s">
        <v>37</v>
      </c>
      <c r="C27" s="4" t="s">
        <v>33</v>
      </c>
      <c r="D27" s="5" t="s">
        <v>38</v>
      </c>
      <c r="E27" s="12">
        <f t="shared" si="0"/>
        <v>2</v>
      </c>
    </row>
    <row r="28" spans="1:5" ht="17">
      <c r="A28" s="1">
        <v>26</v>
      </c>
      <c r="B28" s="8" t="s">
        <v>39</v>
      </c>
      <c r="C28" s="4" t="s">
        <v>0</v>
      </c>
      <c r="D28" s="5" t="s">
        <v>40</v>
      </c>
      <c r="E28" s="12">
        <f t="shared" si="0"/>
        <v>2</v>
      </c>
    </row>
    <row r="29" spans="1:5" ht="17">
      <c r="A29" s="1">
        <v>27</v>
      </c>
      <c r="B29" s="8" t="s">
        <v>41</v>
      </c>
      <c r="C29" s="4" t="s">
        <v>33</v>
      </c>
      <c r="D29" s="5" t="s">
        <v>42</v>
      </c>
      <c r="E29" s="12">
        <f t="shared" si="0"/>
        <v>2</v>
      </c>
    </row>
    <row r="30" spans="1:5" ht="17">
      <c r="A30" s="1">
        <v>28</v>
      </c>
      <c r="B30" s="8" t="s">
        <v>43</v>
      </c>
      <c r="C30" s="4" t="s">
        <v>0</v>
      </c>
      <c r="D30" s="5" t="s">
        <v>44</v>
      </c>
      <c r="E30" s="12">
        <f t="shared" si="0"/>
        <v>2</v>
      </c>
    </row>
    <row r="31" spans="1:5" ht="17">
      <c r="A31" s="1">
        <v>29</v>
      </c>
      <c r="B31" s="8" t="s">
        <v>45</v>
      </c>
      <c r="C31" s="4" t="s">
        <v>33</v>
      </c>
      <c r="D31" s="5" t="s">
        <v>34</v>
      </c>
      <c r="E31" s="12">
        <f t="shared" si="0"/>
        <v>1</v>
      </c>
    </row>
    <row r="32" spans="1:5" ht="17">
      <c r="A32" s="1">
        <v>30</v>
      </c>
      <c r="B32" s="8" t="s">
        <v>46</v>
      </c>
      <c r="C32" s="4" t="s">
        <v>0</v>
      </c>
      <c r="D32" s="5" t="s">
        <v>47</v>
      </c>
      <c r="E32" s="12">
        <f t="shared" si="0"/>
        <v>2</v>
      </c>
    </row>
    <row r="33" spans="1:5" ht="17">
      <c r="A33" s="1">
        <v>31</v>
      </c>
      <c r="B33" s="8" t="s">
        <v>48</v>
      </c>
      <c r="C33" s="4" t="s">
        <v>33</v>
      </c>
      <c r="D33" s="5" t="s">
        <v>42</v>
      </c>
      <c r="E33" s="12">
        <f t="shared" si="0"/>
        <v>2</v>
      </c>
    </row>
    <row r="34" spans="1:5" ht="17">
      <c r="A34" s="1">
        <v>32</v>
      </c>
      <c r="B34" s="8" t="s">
        <v>49</v>
      </c>
      <c r="C34" s="4" t="s">
        <v>0</v>
      </c>
      <c r="D34" s="5" t="s">
        <v>50</v>
      </c>
      <c r="E34" s="12">
        <f t="shared" si="0"/>
        <v>7</v>
      </c>
    </row>
    <row r="35" spans="1:5" ht="17">
      <c r="A35" s="1">
        <v>33</v>
      </c>
      <c r="B35" s="8" t="s">
        <v>51</v>
      </c>
      <c r="C35" s="4" t="s">
        <v>52</v>
      </c>
      <c r="D35" s="5" t="s">
        <v>53</v>
      </c>
      <c r="E35" s="12">
        <f t="shared" si="0"/>
        <v>2</v>
      </c>
    </row>
    <row r="36" spans="1:5" ht="17">
      <c r="A36" s="1">
        <v>34</v>
      </c>
      <c r="B36" s="8" t="s">
        <v>54</v>
      </c>
      <c r="C36" s="4" t="s">
        <v>0</v>
      </c>
      <c r="D36" s="5" t="s">
        <v>55</v>
      </c>
      <c r="E36" s="12">
        <f t="shared" si="0"/>
        <v>3</v>
      </c>
    </row>
    <row r="37" spans="1:5" ht="17">
      <c r="A37" s="1">
        <v>35</v>
      </c>
      <c r="B37" s="8" t="s">
        <v>56</v>
      </c>
      <c r="C37" s="4" t="s">
        <v>52</v>
      </c>
      <c r="D37" s="5" t="s">
        <v>53</v>
      </c>
      <c r="E37" s="12">
        <f t="shared" si="0"/>
        <v>2</v>
      </c>
    </row>
    <row r="38" spans="1:5" ht="17">
      <c r="A38" s="1">
        <v>36</v>
      </c>
      <c r="B38" s="8" t="s">
        <v>57</v>
      </c>
      <c r="C38" s="4" t="s">
        <v>0</v>
      </c>
      <c r="D38" s="5" t="s">
        <v>58</v>
      </c>
      <c r="E38" s="12">
        <f t="shared" si="0"/>
        <v>3</v>
      </c>
    </row>
    <row r="39" spans="1:5" ht="17">
      <c r="A39" s="1">
        <v>37</v>
      </c>
      <c r="B39" s="8" t="s">
        <v>59</v>
      </c>
      <c r="C39" s="4" t="s">
        <v>52</v>
      </c>
      <c r="D39" s="5" t="s">
        <v>42</v>
      </c>
      <c r="E39" s="12">
        <f t="shared" si="0"/>
        <v>2</v>
      </c>
    </row>
    <row r="40" spans="1:5" ht="17">
      <c r="A40" s="1">
        <v>38</v>
      </c>
      <c r="B40" s="8" t="s">
        <v>60</v>
      </c>
      <c r="C40" s="4" t="s">
        <v>0</v>
      </c>
      <c r="D40" s="5" t="s">
        <v>44</v>
      </c>
      <c r="E40" s="12">
        <f t="shared" si="0"/>
        <v>2</v>
      </c>
    </row>
    <row r="41" spans="1:5" ht="17">
      <c r="A41" s="1">
        <v>39</v>
      </c>
      <c r="B41" s="8" t="s">
        <v>61</v>
      </c>
      <c r="C41" s="4" t="s">
        <v>62</v>
      </c>
      <c r="D41" s="5" t="s">
        <v>34</v>
      </c>
      <c r="E41" s="12">
        <f t="shared" si="0"/>
        <v>1</v>
      </c>
    </row>
    <row r="42" spans="1:5" ht="17">
      <c r="A42" s="1">
        <v>40</v>
      </c>
      <c r="B42" s="8" t="s">
        <v>63</v>
      </c>
      <c r="C42" s="4" t="s">
        <v>0</v>
      </c>
      <c r="D42" s="5" t="s">
        <v>64</v>
      </c>
      <c r="E42" s="12">
        <f t="shared" si="0"/>
        <v>1</v>
      </c>
    </row>
    <row r="43" spans="1:5" ht="17">
      <c r="A43" s="1">
        <v>41</v>
      </c>
      <c r="B43" s="8" t="s">
        <v>65</v>
      </c>
      <c r="C43" s="4" t="s">
        <v>52</v>
      </c>
      <c r="D43" s="5" t="s">
        <v>42</v>
      </c>
      <c r="E43" s="12">
        <f t="shared" si="0"/>
        <v>2</v>
      </c>
    </row>
    <row r="44" spans="1:5" ht="17">
      <c r="A44" s="1">
        <v>42</v>
      </c>
      <c r="B44" s="8" t="s">
        <v>66</v>
      </c>
      <c r="C44" s="4" t="s">
        <v>0</v>
      </c>
      <c r="D44" s="5" t="s">
        <v>67</v>
      </c>
      <c r="E44" s="12">
        <f t="shared" si="0"/>
        <v>10</v>
      </c>
    </row>
    <row r="45" spans="1:5" ht="17">
      <c r="A45" s="1">
        <v>43</v>
      </c>
      <c r="B45" s="8" t="s">
        <v>68</v>
      </c>
      <c r="C45" s="4" t="s">
        <v>69</v>
      </c>
      <c r="D45" s="5" t="s">
        <v>70</v>
      </c>
      <c r="E45" s="12">
        <f t="shared" si="0"/>
        <v>1</v>
      </c>
    </row>
    <row r="46" spans="1:5" ht="17">
      <c r="A46" s="1">
        <v>44</v>
      </c>
      <c r="B46" s="8" t="s">
        <v>71</v>
      </c>
      <c r="C46" s="4" t="s">
        <v>0</v>
      </c>
      <c r="D46" s="5" t="s">
        <v>55</v>
      </c>
      <c r="E46" s="12">
        <f t="shared" si="0"/>
        <v>3</v>
      </c>
    </row>
    <row r="47" spans="1:5" ht="17">
      <c r="A47" s="1">
        <v>45</v>
      </c>
      <c r="B47" s="8" t="s">
        <v>72</v>
      </c>
      <c r="C47" s="4" t="s">
        <v>69</v>
      </c>
      <c r="D47" s="5" t="s">
        <v>70</v>
      </c>
      <c r="E47" s="12">
        <f t="shared" si="0"/>
        <v>1</v>
      </c>
    </row>
    <row r="48" spans="1:5" ht="17">
      <c r="A48" s="1">
        <v>46</v>
      </c>
      <c r="B48" s="8" t="s">
        <v>73</v>
      </c>
      <c r="C48" s="4" t="s">
        <v>0</v>
      </c>
      <c r="D48" s="5" t="s">
        <v>74</v>
      </c>
      <c r="E48" s="12">
        <f t="shared" si="0"/>
        <v>1</v>
      </c>
    </row>
    <row r="49" spans="1:5" ht="17">
      <c r="A49" s="1">
        <v>47</v>
      </c>
      <c r="B49" s="8" t="s">
        <v>75</v>
      </c>
      <c r="C49" s="4" t="s">
        <v>69</v>
      </c>
      <c r="D49" s="5" t="s">
        <v>42</v>
      </c>
      <c r="E49" s="12">
        <f t="shared" si="0"/>
        <v>2</v>
      </c>
    </row>
    <row r="50" spans="1:5" ht="17">
      <c r="A50" s="1">
        <v>48</v>
      </c>
      <c r="B50" s="8" t="s">
        <v>76</v>
      </c>
      <c r="C50" s="4" t="s">
        <v>0</v>
      </c>
      <c r="D50" s="5" t="s">
        <v>44</v>
      </c>
      <c r="E50" s="12">
        <f t="shared" si="0"/>
        <v>2</v>
      </c>
    </row>
    <row r="51" spans="1:5" ht="17">
      <c r="A51" s="1">
        <v>49</v>
      </c>
      <c r="B51" s="8" t="s">
        <v>77</v>
      </c>
      <c r="C51" s="4" t="s">
        <v>69</v>
      </c>
      <c r="D51" s="5" t="s">
        <v>34</v>
      </c>
      <c r="E51" s="12">
        <f t="shared" si="0"/>
        <v>1</v>
      </c>
    </row>
    <row r="52" spans="1:5" ht="17">
      <c r="A52" s="1">
        <v>50</v>
      </c>
      <c r="B52" s="8" t="s">
        <v>78</v>
      </c>
      <c r="C52" s="4" t="s">
        <v>0</v>
      </c>
      <c r="D52" s="5" t="s">
        <v>64</v>
      </c>
      <c r="E52" s="12">
        <f t="shared" si="0"/>
        <v>1</v>
      </c>
    </row>
    <row r="53" spans="1:5" ht="17">
      <c r="A53" s="1">
        <v>51</v>
      </c>
      <c r="B53" s="8" t="s">
        <v>79</v>
      </c>
      <c r="C53" s="4" t="s">
        <v>80</v>
      </c>
      <c r="D53" s="5" t="s">
        <v>70</v>
      </c>
      <c r="E53" s="12">
        <f t="shared" si="0"/>
        <v>1</v>
      </c>
    </row>
    <row r="54" spans="1:5" ht="17">
      <c r="A54" s="1">
        <v>52</v>
      </c>
      <c r="B54" s="8" t="s">
        <v>81</v>
      </c>
      <c r="C54" s="4" t="s">
        <v>0</v>
      </c>
      <c r="D54" s="5" t="s">
        <v>82</v>
      </c>
      <c r="E54" s="12">
        <f t="shared" si="0"/>
        <v>4</v>
      </c>
    </row>
    <row r="55" spans="1:5" ht="17">
      <c r="A55" s="1">
        <v>53</v>
      </c>
      <c r="B55" s="8" t="s">
        <v>83</v>
      </c>
      <c r="C55" s="4" t="s">
        <v>84</v>
      </c>
      <c r="D55" s="5" t="s">
        <v>70</v>
      </c>
      <c r="E55" s="12">
        <f t="shared" si="0"/>
        <v>1</v>
      </c>
    </row>
    <row r="56" spans="1:5" ht="17">
      <c r="A56" s="1">
        <v>54</v>
      </c>
      <c r="B56" s="8" t="s">
        <v>83</v>
      </c>
      <c r="C56" s="4" t="s">
        <v>0</v>
      </c>
      <c r="D56" s="5" t="s">
        <v>85</v>
      </c>
      <c r="E56" s="12">
        <f t="shared" si="0"/>
        <v>2</v>
      </c>
    </row>
    <row r="57" spans="1:5" ht="17">
      <c r="A57" s="1">
        <v>55</v>
      </c>
      <c r="B57" s="8" t="s">
        <v>86</v>
      </c>
      <c r="C57" s="4" t="s">
        <v>84</v>
      </c>
      <c r="D57" s="5" t="s">
        <v>53</v>
      </c>
      <c r="E57" s="12">
        <f t="shared" si="0"/>
        <v>2</v>
      </c>
    </row>
    <row r="58" spans="1:5" ht="17">
      <c r="A58" s="1">
        <v>56</v>
      </c>
      <c r="B58" s="8" t="s">
        <v>87</v>
      </c>
      <c r="C58" s="4" t="s">
        <v>0</v>
      </c>
      <c r="D58" s="5" t="s">
        <v>88</v>
      </c>
      <c r="E58" s="12">
        <f t="shared" si="0"/>
        <v>3</v>
      </c>
    </row>
    <row r="59" spans="1:5" ht="17">
      <c r="A59" s="1">
        <v>57</v>
      </c>
      <c r="B59" s="8" t="s">
        <v>89</v>
      </c>
      <c r="C59" s="4" t="s">
        <v>84</v>
      </c>
      <c r="D59" s="5" t="s">
        <v>34</v>
      </c>
      <c r="E59" s="12">
        <f t="shared" si="0"/>
        <v>1</v>
      </c>
    </row>
    <row r="60" spans="1:5" ht="17">
      <c r="A60" s="1">
        <v>58</v>
      </c>
      <c r="B60" s="8" t="s">
        <v>90</v>
      </c>
      <c r="C60" s="4" t="s">
        <v>0</v>
      </c>
      <c r="D60" s="5" t="s">
        <v>91</v>
      </c>
      <c r="E60" s="12">
        <f t="shared" si="0"/>
        <v>3</v>
      </c>
    </row>
    <row r="61" spans="1:5" ht="17">
      <c r="A61" s="1">
        <v>59</v>
      </c>
      <c r="B61" s="8" t="s">
        <v>92</v>
      </c>
      <c r="C61" s="4" t="s">
        <v>84</v>
      </c>
      <c r="D61" s="5" t="s">
        <v>70</v>
      </c>
      <c r="E61" s="12">
        <f t="shared" si="0"/>
        <v>1</v>
      </c>
    </row>
    <row r="62" spans="1:5" ht="17">
      <c r="A62" s="1">
        <v>60</v>
      </c>
      <c r="B62" s="8" t="s">
        <v>93</v>
      </c>
      <c r="C62" s="4" t="s">
        <v>0</v>
      </c>
      <c r="D62" s="5" t="s">
        <v>306</v>
      </c>
      <c r="E62" s="12">
        <f t="shared" si="0"/>
        <v>39</v>
      </c>
    </row>
    <row r="63" spans="1:5" ht="17">
      <c r="A63" s="1">
        <v>61</v>
      </c>
      <c r="B63" s="8" t="s">
        <v>94</v>
      </c>
      <c r="C63" s="4" t="s">
        <v>95</v>
      </c>
      <c r="D63" s="5" t="s">
        <v>96</v>
      </c>
      <c r="E63" s="12">
        <f t="shared" si="0"/>
        <v>8</v>
      </c>
    </row>
    <row r="64" spans="1:5" ht="17">
      <c r="A64" s="1">
        <v>62</v>
      </c>
      <c r="B64" s="8" t="s">
        <v>97</v>
      </c>
      <c r="C64" s="4" t="s">
        <v>98</v>
      </c>
      <c r="D64" s="5" t="s">
        <v>99</v>
      </c>
      <c r="E64" s="12">
        <f t="shared" si="0"/>
        <v>55</v>
      </c>
    </row>
    <row r="65" spans="1:12" ht="17">
      <c r="A65" s="1">
        <v>63</v>
      </c>
      <c r="B65" s="8" t="s">
        <v>100</v>
      </c>
      <c r="C65" s="4" t="s">
        <v>0</v>
      </c>
      <c r="D65" s="5" t="s">
        <v>101</v>
      </c>
      <c r="E65" s="12">
        <f t="shared" si="0"/>
        <v>12</v>
      </c>
      <c r="L65">
        <v>1</v>
      </c>
    </row>
    <row r="66" spans="1:12" ht="17">
      <c r="A66" s="1">
        <v>64</v>
      </c>
      <c r="B66" s="8" t="s">
        <v>102</v>
      </c>
      <c r="C66" s="4" t="s">
        <v>103</v>
      </c>
      <c r="D66" s="5" t="s">
        <v>104</v>
      </c>
      <c r="E66" s="12">
        <f t="shared" si="0"/>
        <v>3</v>
      </c>
    </row>
    <row r="67" spans="1:12" ht="17">
      <c r="A67" s="1">
        <v>65</v>
      </c>
      <c r="B67" s="8" t="s">
        <v>105</v>
      </c>
      <c r="C67" s="4" t="s">
        <v>0</v>
      </c>
      <c r="D67" s="5" t="s">
        <v>307</v>
      </c>
      <c r="E67" s="12">
        <f t="shared" si="0"/>
        <v>31</v>
      </c>
      <c r="L67">
        <v>1</v>
      </c>
    </row>
    <row r="68" spans="1:12" ht="17">
      <c r="A68" s="1">
        <v>66</v>
      </c>
      <c r="B68" s="8" t="s">
        <v>106</v>
      </c>
      <c r="C68" s="4" t="s">
        <v>107</v>
      </c>
      <c r="D68" s="5" t="s">
        <v>108</v>
      </c>
      <c r="E68" s="12">
        <f t="shared" ref="E68:E131" si="1">LEN(D68)-LEN(SUBSTITUTE(D68," ",""))+1</f>
        <v>39</v>
      </c>
    </row>
    <row r="69" spans="1:12" ht="17">
      <c r="A69" s="1">
        <v>67</v>
      </c>
      <c r="B69" s="8" t="s">
        <v>109</v>
      </c>
      <c r="C69" s="4" t="s">
        <v>0</v>
      </c>
      <c r="D69" s="5" t="s">
        <v>110</v>
      </c>
      <c r="E69" s="12">
        <f t="shared" si="1"/>
        <v>25</v>
      </c>
    </row>
    <row r="70" spans="1:12" ht="17">
      <c r="A70" s="1">
        <v>68</v>
      </c>
      <c r="B70" s="8" t="s">
        <v>109</v>
      </c>
      <c r="C70" s="4" t="s">
        <v>111</v>
      </c>
      <c r="D70" s="5" t="s">
        <v>112</v>
      </c>
      <c r="E70" s="12">
        <f t="shared" si="1"/>
        <v>2</v>
      </c>
    </row>
    <row r="71" spans="1:12" ht="17">
      <c r="A71" s="1">
        <v>69</v>
      </c>
      <c r="B71" s="8" t="s">
        <v>109</v>
      </c>
      <c r="C71" s="4" t="s">
        <v>113</v>
      </c>
      <c r="D71" s="5" t="s">
        <v>320</v>
      </c>
      <c r="E71" s="12">
        <f t="shared" si="1"/>
        <v>10</v>
      </c>
    </row>
    <row r="72" spans="1:12" ht="17">
      <c r="A72" s="1">
        <v>70</v>
      </c>
      <c r="B72" s="8" t="s">
        <v>109</v>
      </c>
      <c r="C72" s="4" t="s">
        <v>111</v>
      </c>
      <c r="D72" s="5" t="s">
        <v>42</v>
      </c>
      <c r="E72" s="12">
        <f t="shared" si="1"/>
        <v>2</v>
      </c>
    </row>
    <row r="73" spans="1:12" ht="17">
      <c r="A73" s="1">
        <v>71</v>
      </c>
      <c r="B73" s="8" t="s">
        <v>114</v>
      </c>
      <c r="C73" s="4" t="s">
        <v>0</v>
      </c>
      <c r="D73" s="5" t="s">
        <v>115</v>
      </c>
      <c r="E73" s="12">
        <f t="shared" si="1"/>
        <v>7</v>
      </c>
      <c r="H73">
        <v>1</v>
      </c>
    </row>
    <row r="74" spans="1:12" ht="17">
      <c r="A74" s="1">
        <v>72</v>
      </c>
      <c r="B74" s="8" t="s">
        <v>116</v>
      </c>
      <c r="C74" s="4" t="s">
        <v>111</v>
      </c>
      <c r="D74" s="5" t="s">
        <v>263</v>
      </c>
      <c r="E74" s="12">
        <f t="shared" si="1"/>
        <v>31</v>
      </c>
    </row>
    <row r="75" spans="1:12" ht="17">
      <c r="A75" s="1">
        <v>73</v>
      </c>
      <c r="B75" s="8" t="s">
        <v>117</v>
      </c>
      <c r="C75" s="4" t="s">
        <v>0</v>
      </c>
      <c r="D75" s="5" t="s">
        <v>118</v>
      </c>
      <c r="E75" s="12">
        <f t="shared" si="1"/>
        <v>16</v>
      </c>
      <c r="F75">
        <v>1</v>
      </c>
    </row>
    <row r="76" spans="1:12" ht="17">
      <c r="A76" s="1">
        <v>74</v>
      </c>
      <c r="B76" s="8" t="s">
        <v>119</v>
      </c>
      <c r="C76" s="4" t="s">
        <v>111</v>
      </c>
      <c r="D76" s="5" t="s">
        <v>120</v>
      </c>
      <c r="E76" s="12">
        <f t="shared" si="1"/>
        <v>1</v>
      </c>
    </row>
    <row r="77" spans="1:12" ht="17">
      <c r="A77" s="1">
        <v>75</v>
      </c>
      <c r="B77" s="8" t="s">
        <v>121</v>
      </c>
      <c r="C77" s="4" t="s">
        <v>0</v>
      </c>
      <c r="D77" s="5" t="s">
        <v>122</v>
      </c>
      <c r="E77" s="12">
        <f t="shared" si="1"/>
        <v>11</v>
      </c>
    </row>
    <row r="78" spans="1:12" ht="17">
      <c r="A78" s="1">
        <v>76</v>
      </c>
      <c r="B78" s="8" t="s">
        <v>123</v>
      </c>
      <c r="C78" s="4" t="s">
        <v>111</v>
      </c>
      <c r="D78" s="5" t="s">
        <v>264</v>
      </c>
      <c r="E78" s="12">
        <f t="shared" si="1"/>
        <v>4</v>
      </c>
    </row>
    <row r="79" spans="1:12" ht="17">
      <c r="A79" s="1">
        <v>77</v>
      </c>
      <c r="B79" s="8" t="s">
        <v>124</v>
      </c>
      <c r="C79" s="4" t="s">
        <v>0</v>
      </c>
      <c r="D79" s="5" t="s">
        <v>308</v>
      </c>
      <c r="E79" s="12">
        <f t="shared" si="1"/>
        <v>75</v>
      </c>
      <c r="K79">
        <v>1</v>
      </c>
    </row>
    <row r="80" spans="1:12" ht="17">
      <c r="A80" s="1">
        <v>78</v>
      </c>
      <c r="B80" s="8" t="s">
        <v>125</v>
      </c>
      <c r="C80" s="4" t="s">
        <v>126</v>
      </c>
      <c r="D80" s="5" t="s">
        <v>127</v>
      </c>
      <c r="E80" s="12">
        <f t="shared" si="1"/>
        <v>4</v>
      </c>
    </row>
    <row r="81" spans="1:12" ht="17">
      <c r="A81" s="1">
        <v>79</v>
      </c>
      <c r="B81" s="8" t="s">
        <v>128</v>
      </c>
      <c r="C81" s="4" t="s">
        <v>0</v>
      </c>
      <c r="D81" s="5" t="s">
        <v>129</v>
      </c>
      <c r="E81" s="12">
        <f t="shared" si="1"/>
        <v>10</v>
      </c>
      <c r="G81">
        <v>1</v>
      </c>
    </row>
    <row r="82" spans="1:12" ht="17">
      <c r="A82" s="1">
        <v>80</v>
      </c>
      <c r="B82" s="8" t="s">
        <v>130</v>
      </c>
      <c r="C82" s="4" t="s">
        <v>126</v>
      </c>
      <c r="D82" s="5" t="s">
        <v>131</v>
      </c>
      <c r="E82" s="12">
        <f t="shared" si="1"/>
        <v>6</v>
      </c>
    </row>
    <row r="83" spans="1:12" ht="17">
      <c r="A83" s="1">
        <v>81</v>
      </c>
      <c r="B83" s="8" t="s">
        <v>132</v>
      </c>
      <c r="C83" s="4" t="s">
        <v>0</v>
      </c>
      <c r="D83" s="5" t="s">
        <v>133</v>
      </c>
      <c r="E83" s="12">
        <f t="shared" si="1"/>
        <v>2</v>
      </c>
      <c r="H83">
        <v>1</v>
      </c>
    </row>
    <row r="84" spans="1:12" ht="17">
      <c r="A84" s="1">
        <v>82</v>
      </c>
      <c r="B84" s="8" t="s">
        <v>134</v>
      </c>
      <c r="C84" s="4" t="s">
        <v>126</v>
      </c>
      <c r="D84" s="5" t="s">
        <v>135</v>
      </c>
      <c r="E84" s="12">
        <f t="shared" si="1"/>
        <v>4</v>
      </c>
    </row>
    <row r="85" spans="1:12" ht="17">
      <c r="A85" s="1">
        <v>83</v>
      </c>
      <c r="B85" s="8" t="s">
        <v>136</v>
      </c>
      <c r="C85" s="4" t="s">
        <v>0</v>
      </c>
      <c r="D85" s="5" t="s">
        <v>309</v>
      </c>
      <c r="E85" s="12">
        <f t="shared" si="1"/>
        <v>74</v>
      </c>
      <c r="L85">
        <v>1</v>
      </c>
    </row>
    <row r="86" spans="1:12" ht="17">
      <c r="A86" s="1">
        <v>84</v>
      </c>
      <c r="B86" s="8" t="s">
        <v>137</v>
      </c>
      <c r="C86" s="4" t="s">
        <v>138</v>
      </c>
      <c r="D86" s="5" t="s">
        <v>139</v>
      </c>
      <c r="E86" s="12">
        <f t="shared" si="1"/>
        <v>2</v>
      </c>
    </row>
    <row r="87" spans="1:12" ht="17">
      <c r="A87" s="1">
        <v>85</v>
      </c>
      <c r="B87" s="8" t="s">
        <v>140</v>
      </c>
      <c r="C87" s="4" t="s">
        <v>0</v>
      </c>
      <c r="D87" s="5" t="s">
        <v>310</v>
      </c>
      <c r="E87" s="12">
        <f t="shared" si="1"/>
        <v>513</v>
      </c>
    </row>
    <row r="88" spans="1:12" ht="17">
      <c r="A88" s="1">
        <v>86</v>
      </c>
      <c r="B88" s="8" t="s">
        <v>141</v>
      </c>
      <c r="C88" s="4" t="s">
        <v>142</v>
      </c>
      <c r="D88" s="5" t="s">
        <v>143</v>
      </c>
      <c r="E88" s="12">
        <f t="shared" si="1"/>
        <v>2</v>
      </c>
    </row>
    <row r="89" spans="1:12" ht="17">
      <c r="A89" s="1">
        <v>87</v>
      </c>
      <c r="B89" s="8" t="s">
        <v>144</v>
      </c>
      <c r="C89" s="4" t="s">
        <v>0</v>
      </c>
      <c r="D89" s="5" t="s">
        <v>145</v>
      </c>
      <c r="E89" s="12">
        <f t="shared" si="1"/>
        <v>1</v>
      </c>
    </row>
    <row r="90" spans="1:12" ht="17">
      <c r="A90" s="1">
        <v>88</v>
      </c>
      <c r="B90" s="8" t="s">
        <v>146</v>
      </c>
      <c r="C90" s="4" t="s">
        <v>142</v>
      </c>
      <c r="D90" s="5" t="s">
        <v>42</v>
      </c>
      <c r="E90" s="12">
        <f t="shared" si="1"/>
        <v>2</v>
      </c>
    </row>
    <row r="91" spans="1:12" ht="17">
      <c r="A91" s="1">
        <v>89</v>
      </c>
      <c r="B91" s="8" t="s">
        <v>147</v>
      </c>
      <c r="C91" s="4" t="s">
        <v>0</v>
      </c>
      <c r="D91" s="5" t="s">
        <v>74</v>
      </c>
      <c r="E91" s="12">
        <f t="shared" si="1"/>
        <v>1</v>
      </c>
    </row>
    <row r="92" spans="1:12" ht="17">
      <c r="A92" s="1">
        <v>90</v>
      </c>
      <c r="B92" s="8" t="s">
        <v>148</v>
      </c>
      <c r="C92" s="4" t="s">
        <v>142</v>
      </c>
      <c r="D92" s="5" t="s">
        <v>70</v>
      </c>
      <c r="E92" s="12">
        <f t="shared" si="1"/>
        <v>1</v>
      </c>
    </row>
    <row r="93" spans="1:12" ht="17">
      <c r="A93" s="1">
        <v>91</v>
      </c>
      <c r="B93" s="8" t="s">
        <v>149</v>
      </c>
      <c r="C93" s="4" t="s">
        <v>0</v>
      </c>
      <c r="D93" s="5" t="s">
        <v>70</v>
      </c>
      <c r="E93" s="12">
        <f t="shared" si="1"/>
        <v>1</v>
      </c>
    </row>
    <row r="94" spans="1:12" ht="17">
      <c r="A94" s="1">
        <v>92</v>
      </c>
      <c r="B94" s="8" t="s">
        <v>150</v>
      </c>
      <c r="C94" s="4" t="s">
        <v>142</v>
      </c>
      <c r="D94" s="5" t="s">
        <v>70</v>
      </c>
      <c r="E94" s="12">
        <f t="shared" si="1"/>
        <v>1</v>
      </c>
    </row>
    <row r="95" spans="1:12" ht="17">
      <c r="A95" s="1">
        <v>93</v>
      </c>
      <c r="B95" s="8" t="s">
        <v>151</v>
      </c>
      <c r="C95" s="4" t="s">
        <v>0</v>
      </c>
      <c r="D95" s="5" t="s">
        <v>70</v>
      </c>
      <c r="E95" s="12">
        <f t="shared" si="1"/>
        <v>1</v>
      </c>
    </row>
    <row r="96" spans="1:12" ht="17">
      <c r="A96" s="1">
        <v>94</v>
      </c>
      <c r="B96" s="8" t="s">
        <v>152</v>
      </c>
      <c r="C96" s="4" t="s">
        <v>142</v>
      </c>
      <c r="D96" s="5" t="s">
        <v>70</v>
      </c>
      <c r="E96" s="12">
        <f t="shared" si="1"/>
        <v>1</v>
      </c>
    </row>
    <row r="97" spans="1:11" ht="17">
      <c r="A97" s="1">
        <v>95</v>
      </c>
      <c r="B97" s="8" t="s">
        <v>153</v>
      </c>
      <c r="C97" s="4" t="s">
        <v>0</v>
      </c>
      <c r="D97" s="5" t="s">
        <v>70</v>
      </c>
      <c r="E97" s="12">
        <f t="shared" si="1"/>
        <v>1</v>
      </c>
    </row>
    <row r="98" spans="1:11" ht="17">
      <c r="A98" s="1">
        <v>96</v>
      </c>
      <c r="B98" s="8" t="s">
        <v>154</v>
      </c>
      <c r="C98" s="4" t="s">
        <v>142</v>
      </c>
      <c r="D98" s="5" t="s">
        <v>34</v>
      </c>
      <c r="E98" s="12">
        <f t="shared" si="1"/>
        <v>1</v>
      </c>
    </row>
    <row r="99" spans="1:11" ht="17">
      <c r="A99" s="1">
        <v>97</v>
      </c>
      <c r="B99" s="8" t="s">
        <v>155</v>
      </c>
      <c r="C99" s="4" t="s">
        <v>0</v>
      </c>
      <c r="D99" s="5" t="s">
        <v>156</v>
      </c>
      <c r="E99" s="12">
        <f t="shared" si="1"/>
        <v>5</v>
      </c>
      <c r="K99">
        <v>1</v>
      </c>
    </row>
    <row r="100" spans="1:11" ht="17">
      <c r="A100" s="1">
        <v>98</v>
      </c>
      <c r="B100" s="8" t="s">
        <v>157</v>
      </c>
      <c r="C100" s="4" t="s">
        <v>158</v>
      </c>
      <c r="D100" s="5" t="s">
        <v>42</v>
      </c>
      <c r="E100" s="12">
        <f t="shared" si="1"/>
        <v>2</v>
      </c>
    </row>
    <row r="101" spans="1:11" ht="17">
      <c r="A101" s="1">
        <v>99</v>
      </c>
      <c r="B101" s="8" t="s">
        <v>159</v>
      </c>
      <c r="C101" s="4" t="s">
        <v>0</v>
      </c>
      <c r="D101" s="5" t="s">
        <v>160</v>
      </c>
      <c r="E101" s="12">
        <f t="shared" si="1"/>
        <v>2</v>
      </c>
    </row>
    <row r="102" spans="1:11" ht="17">
      <c r="A102" s="1">
        <v>100</v>
      </c>
      <c r="B102" s="8" t="s">
        <v>161</v>
      </c>
      <c r="C102" s="4" t="s">
        <v>158</v>
      </c>
      <c r="D102" s="5" t="s">
        <v>34</v>
      </c>
      <c r="E102" s="12">
        <f t="shared" si="1"/>
        <v>1</v>
      </c>
    </row>
    <row r="103" spans="1:11" ht="17">
      <c r="A103" s="1">
        <v>101</v>
      </c>
      <c r="B103" s="8" t="s">
        <v>162</v>
      </c>
      <c r="C103" s="4" t="s">
        <v>0</v>
      </c>
      <c r="D103" s="5" t="s">
        <v>74</v>
      </c>
      <c r="E103" s="12">
        <f t="shared" si="1"/>
        <v>1</v>
      </c>
    </row>
    <row r="104" spans="1:11" ht="17">
      <c r="A104" s="1">
        <v>102</v>
      </c>
      <c r="B104" s="8" t="s">
        <v>163</v>
      </c>
      <c r="C104" s="4" t="s">
        <v>158</v>
      </c>
      <c r="D104" s="5" t="s">
        <v>70</v>
      </c>
      <c r="E104" s="12">
        <f t="shared" si="1"/>
        <v>1</v>
      </c>
    </row>
    <row r="105" spans="1:11" ht="17">
      <c r="A105" s="1">
        <v>103</v>
      </c>
      <c r="B105" s="8" t="s">
        <v>164</v>
      </c>
      <c r="C105" s="4" t="s">
        <v>0</v>
      </c>
      <c r="D105" s="5" t="s">
        <v>70</v>
      </c>
      <c r="E105" s="12">
        <f t="shared" si="1"/>
        <v>1</v>
      </c>
    </row>
    <row r="106" spans="1:11" ht="17">
      <c r="A106" s="1">
        <v>104</v>
      </c>
      <c r="B106" s="8" t="s">
        <v>165</v>
      </c>
      <c r="C106" s="4" t="s">
        <v>158</v>
      </c>
      <c r="D106" s="5" t="s">
        <v>34</v>
      </c>
      <c r="E106" s="12">
        <f t="shared" si="1"/>
        <v>1</v>
      </c>
    </row>
    <row r="107" spans="1:11" ht="17">
      <c r="A107" s="1">
        <v>105</v>
      </c>
      <c r="B107" s="8" t="s">
        <v>166</v>
      </c>
      <c r="C107" s="4" t="s">
        <v>0</v>
      </c>
      <c r="D107" s="5" t="s">
        <v>167</v>
      </c>
      <c r="E107" s="12">
        <f t="shared" si="1"/>
        <v>3</v>
      </c>
    </row>
    <row r="108" spans="1:11" ht="17">
      <c r="A108" s="1">
        <v>106</v>
      </c>
      <c r="B108" s="8" t="s">
        <v>168</v>
      </c>
      <c r="C108" s="4" t="s">
        <v>158</v>
      </c>
      <c r="D108" s="5" t="s">
        <v>34</v>
      </c>
      <c r="E108" s="12">
        <f t="shared" si="1"/>
        <v>1</v>
      </c>
    </row>
    <row r="109" spans="1:11" ht="17">
      <c r="A109" s="1">
        <v>107</v>
      </c>
      <c r="B109" s="8" t="s">
        <v>169</v>
      </c>
      <c r="C109" s="4" t="s">
        <v>0</v>
      </c>
      <c r="D109" s="5" t="s">
        <v>170</v>
      </c>
      <c r="E109" s="12">
        <f t="shared" si="1"/>
        <v>2</v>
      </c>
    </row>
    <row r="110" spans="1:11" ht="17">
      <c r="A110" s="1">
        <v>108</v>
      </c>
      <c r="B110" s="8" t="s">
        <v>171</v>
      </c>
      <c r="C110" s="4" t="s">
        <v>158</v>
      </c>
      <c r="D110" s="5" t="s">
        <v>70</v>
      </c>
      <c r="E110" s="12">
        <f t="shared" si="1"/>
        <v>1</v>
      </c>
    </row>
    <row r="111" spans="1:11" ht="17">
      <c r="A111" s="1">
        <v>109</v>
      </c>
      <c r="B111" s="8" t="s">
        <v>172</v>
      </c>
      <c r="C111" s="4" t="s">
        <v>0</v>
      </c>
      <c r="D111" s="5" t="s">
        <v>173</v>
      </c>
      <c r="E111" s="12">
        <f t="shared" si="1"/>
        <v>5</v>
      </c>
    </row>
    <row r="112" spans="1:11" ht="17">
      <c r="A112" s="1">
        <v>110</v>
      </c>
      <c r="B112" s="8" t="s">
        <v>174</v>
      </c>
      <c r="C112" s="4" t="s">
        <v>175</v>
      </c>
      <c r="D112" s="5" t="s">
        <v>53</v>
      </c>
      <c r="E112" s="12">
        <f t="shared" si="1"/>
        <v>2</v>
      </c>
    </row>
    <row r="113" spans="1:5" ht="17">
      <c r="A113" s="1">
        <v>111</v>
      </c>
      <c r="B113" s="8" t="s">
        <v>176</v>
      </c>
      <c r="C113" s="4" t="s">
        <v>0</v>
      </c>
      <c r="D113" s="5" t="s">
        <v>177</v>
      </c>
      <c r="E113" s="12">
        <f t="shared" si="1"/>
        <v>3</v>
      </c>
    </row>
    <row r="114" spans="1:5" ht="17">
      <c r="A114" s="1">
        <v>112</v>
      </c>
      <c r="B114" s="8" t="s">
        <v>178</v>
      </c>
      <c r="C114" s="4" t="s">
        <v>175</v>
      </c>
      <c r="D114" s="5" t="s">
        <v>70</v>
      </c>
      <c r="E114" s="12">
        <f t="shared" si="1"/>
        <v>1</v>
      </c>
    </row>
    <row r="115" spans="1:5" ht="17">
      <c r="A115" s="1">
        <v>113</v>
      </c>
      <c r="B115" s="8" t="s">
        <v>179</v>
      </c>
      <c r="C115" s="4" t="s">
        <v>0</v>
      </c>
      <c r="D115" s="5" t="s">
        <v>180</v>
      </c>
      <c r="E115" s="12">
        <f t="shared" si="1"/>
        <v>2</v>
      </c>
    </row>
    <row r="116" spans="1:5" ht="17">
      <c r="A116" s="1">
        <v>114</v>
      </c>
      <c r="B116" s="8" t="s">
        <v>181</v>
      </c>
      <c r="C116" s="4" t="s">
        <v>175</v>
      </c>
      <c r="D116" s="5" t="s">
        <v>70</v>
      </c>
      <c r="E116" s="12">
        <f t="shared" si="1"/>
        <v>1</v>
      </c>
    </row>
    <row r="117" spans="1:5" ht="17">
      <c r="A117" s="1">
        <v>115</v>
      </c>
      <c r="B117" s="8" t="s">
        <v>182</v>
      </c>
      <c r="C117" s="4" t="s">
        <v>0</v>
      </c>
      <c r="D117" s="5" t="s">
        <v>183</v>
      </c>
      <c r="E117" s="12">
        <f t="shared" si="1"/>
        <v>2</v>
      </c>
    </row>
    <row r="118" spans="1:5" ht="17">
      <c r="A118" s="1">
        <v>116</v>
      </c>
      <c r="B118" s="8" t="s">
        <v>184</v>
      </c>
      <c r="C118" s="4" t="s">
        <v>175</v>
      </c>
      <c r="D118" s="5" t="s">
        <v>70</v>
      </c>
      <c r="E118" s="12">
        <f t="shared" si="1"/>
        <v>1</v>
      </c>
    </row>
    <row r="119" spans="1:5" ht="17">
      <c r="A119" s="1">
        <v>117</v>
      </c>
      <c r="B119" s="8" t="s">
        <v>185</v>
      </c>
      <c r="C119" s="4" t="s">
        <v>0</v>
      </c>
      <c r="D119" s="5" t="s">
        <v>70</v>
      </c>
      <c r="E119" s="12">
        <f t="shared" si="1"/>
        <v>1</v>
      </c>
    </row>
    <row r="120" spans="1:5" ht="17">
      <c r="A120" s="1">
        <v>118</v>
      </c>
      <c r="B120" s="8" t="s">
        <v>186</v>
      </c>
      <c r="C120" s="4" t="s">
        <v>175</v>
      </c>
      <c r="D120" s="5" t="s">
        <v>34</v>
      </c>
      <c r="E120" s="12">
        <f t="shared" si="1"/>
        <v>1</v>
      </c>
    </row>
    <row r="121" spans="1:5" ht="17">
      <c r="A121" s="1">
        <v>119</v>
      </c>
      <c r="B121" s="8" t="s">
        <v>187</v>
      </c>
      <c r="C121" s="4" t="s">
        <v>0</v>
      </c>
      <c r="D121" s="5" t="s">
        <v>170</v>
      </c>
      <c r="E121" s="12">
        <f t="shared" si="1"/>
        <v>2</v>
      </c>
    </row>
    <row r="122" spans="1:5" ht="17">
      <c r="A122" s="1">
        <v>120</v>
      </c>
      <c r="B122" s="8" t="s">
        <v>188</v>
      </c>
      <c r="C122" s="4" t="s">
        <v>175</v>
      </c>
      <c r="D122" s="5" t="s">
        <v>70</v>
      </c>
      <c r="E122" s="12">
        <f t="shared" si="1"/>
        <v>1</v>
      </c>
    </row>
    <row r="123" spans="1:5" ht="17">
      <c r="A123" s="1">
        <v>121</v>
      </c>
      <c r="B123" s="8" t="s">
        <v>189</v>
      </c>
      <c r="C123" s="4" t="s">
        <v>0</v>
      </c>
      <c r="D123" s="5" t="s">
        <v>190</v>
      </c>
      <c r="E123" s="12">
        <f t="shared" si="1"/>
        <v>7</v>
      </c>
    </row>
    <row r="124" spans="1:5" ht="17">
      <c r="A124" s="1">
        <v>122</v>
      </c>
      <c r="B124" s="8" t="s">
        <v>191</v>
      </c>
      <c r="C124" s="4" t="s">
        <v>192</v>
      </c>
      <c r="D124" s="5" t="s">
        <v>34</v>
      </c>
      <c r="E124" s="12">
        <f t="shared" si="1"/>
        <v>1</v>
      </c>
    </row>
    <row r="125" spans="1:5" ht="17">
      <c r="A125" s="1">
        <v>123</v>
      </c>
      <c r="B125" s="8" t="s">
        <v>193</v>
      </c>
      <c r="C125" s="4" t="s">
        <v>0</v>
      </c>
      <c r="D125" s="5" t="s">
        <v>145</v>
      </c>
      <c r="E125" s="12">
        <f t="shared" si="1"/>
        <v>1</v>
      </c>
    </row>
    <row r="126" spans="1:5" ht="17">
      <c r="A126" s="1">
        <v>124</v>
      </c>
      <c r="B126" s="8" t="s">
        <v>194</v>
      </c>
      <c r="C126" s="4" t="s">
        <v>192</v>
      </c>
      <c r="D126" s="5" t="s">
        <v>34</v>
      </c>
      <c r="E126" s="12">
        <f t="shared" si="1"/>
        <v>1</v>
      </c>
    </row>
    <row r="127" spans="1:5" ht="17">
      <c r="A127" s="1">
        <v>125</v>
      </c>
      <c r="B127" s="8" t="s">
        <v>195</v>
      </c>
      <c r="C127" s="4" t="s">
        <v>0</v>
      </c>
      <c r="D127" s="5" t="s">
        <v>196</v>
      </c>
      <c r="E127" s="12">
        <f t="shared" si="1"/>
        <v>2</v>
      </c>
    </row>
    <row r="128" spans="1:5" ht="17">
      <c r="A128" s="1">
        <v>126</v>
      </c>
      <c r="B128" s="8" t="s">
        <v>197</v>
      </c>
      <c r="C128" s="4" t="s">
        <v>192</v>
      </c>
      <c r="D128" s="5" t="s">
        <v>70</v>
      </c>
      <c r="E128" s="12">
        <f t="shared" si="1"/>
        <v>1</v>
      </c>
    </row>
    <row r="129" spans="1:11" ht="17">
      <c r="A129" s="1">
        <v>127</v>
      </c>
      <c r="B129" s="8" t="s">
        <v>198</v>
      </c>
      <c r="C129" s="4" t="s">
        <v>0</v>
      </c>
      <c r="D129" s="5" t="s">
        <v>183</v>
      </c>
      <c r="E129" s="12">
        <f t="shared" si="1"/>
        <v>2</v>
      </c>
    </row>
    <row r="130" spans="1:11" ht="17">
      <c r="A130" s="1">
        <v>128</v>
      </c>
      <c r="B130" s="8" t="s">
        <v>199</v>
      </c>
      <c r="C130" s="4" t="s">
        <v>192</v>
      </c>
      <c r="D130" s="5" t="s">
        <v>34</v>
      </c>
      <c r="E130" s="12">
        <f t="shared" si="1"/>
        <v>1</v>
      </c>
    </row>
    <row r="131" spans="1:11" ht="17">
      <c r="A131" s="1">
        <v>129</v>
      </c>
      <c r="B131" s="8" t="s">
        <v>200</v>
      </c>
      <c r="C131" s="4" t="s">
        <v>0</v>
      </c>
      <c r="D131" s="5" t="s">
        <v>201</v>
      </c>
      <c r="E131" s="12">
        <f t="shared" si="1"/>
        <v>2</v>
      </c>
    </row>
    <row r="132" spans="1:11" ht="17">
      <c r="A132" s="1">
        <v>130</v>
      </c>
      <c r="B132" s="8" t="s">
        <v>202</v>
      </c>
      <c r="C132" s="4" t="s">
        <v>192</v>
      </c>
      <c r="D132" s="5" t="s">
        <v>34</v>
      </c>
      <c r="E132" s="12">
        <f t="shared" ref="E132:E167" si="2">LEN(D132)-LEN(SUBSTITUTE(D132," ",""))+1</f>
        <v>1</v>
      </c>
    </row>
    <row r="133" spans="1:11" ht="17">
      <c r="A133" s="1">
        <v>131</v>
      </c>
      <c r="B133" s="8" t="s">
        <v>203</v>
      </c>
      <c r="C133" s="4" t="s">
        <v>0</v>
      </c>
      <c r="D133" s="5" t="s">
        <v>170</v>
      </c>
      <c r="E133" s="12">
        <f t="shared" si="2"/>
        <v>2</v>
      </c>
    </row>
    <row r="134" spans="1:11" ht="17">
      <c r="A134" s="1">
        <v>132</v>
      </c>
      <c r="B134" s="8" t="s">
        <v>204</v>
      </c>
      <c r="C134" s="4" t="s">
        <v>192</v>
      </c>
      <c r="D134" s="5" t="s">
        <v>70</v>
      </c>
      <c r="E134" s="12">
        <f t="shared" si="2"/>
        <v>1</v>
      </c>
    </row>
    <row r="135" spans="1:11" ht="17">
      <c r="A135" s="1">
        <v>133</v>
      </c>
      <c r="B135" s="8" t="s">
        <v>205</v>
      </c>
      <c r="C135" s="4" t="s">
        <v>0</v>
      </c>
      <c r="D135" s="5" t="s">
        <v>311</v>
      </c>
      <c r="E135" s="12">
        <f t="shared" si="2"/>
        <v>40</v>
      </c>
    </row>
    <row r="136" spans="1:11" ht="17">
      <c r="A136" s="1">
        <v>134</v>
      </c>
      <c r="B136" s="8" t="s">
        <v>206</v>
      </c>
      <c r="C136" s="4" t="s">
        <v>192</v>
      </c>
      <c r="D136" s="5" t="s">
        <v>207</v>
      </c>
      <c r="E136" s="12">
        <f t="shared" si="2"/>
        <v>16</v>
      </c>
    </row>
    <row r="137" spans="1:11" ht="17">
      <c r="A137" s="1">
        <v>135</v>
      </c>
      <c r="B137" s="8" t="s">
        <v>208</v>
      </c>
      <c r="C137" s="4" t="s">
        <v>0</v>
      </c>
      <c r="D137" s="5" t="s">
        <v>312</v>
      </c>
      <c r="E137" s="12">
        <f t="shared" si="2"/>
        <v>50</v>
      </c>
    </row>
    <row r="138" spans="1:11" ht="17">
      <c r="A138" s="1">
        <v>136</v>
      </c>
      <c r="B138" s="8" t="s">
        <v>209</v>
      </c>
      <c r="C138" s="4" t="s">
        <v>210</v>
      </c>
      <c r="D138" s="5" t="s">
        <v>34</v>
      </c>
      <c r="E138" s="12">
        <f t="shared" si="2"/>
        <v>1</v>
      </c>
    </row>
    <row r="139" spans="1:11" ht="17">
      <c r="A139" s="1">
        <v>137</v>
      </c>
      <c r="B139" s="8" t="s">
        <v>211</v>
      </c>
      <c r="C139" s="4" t="s">
        <v>0</v>
      </c>
      <c r="D139" s="5" t="s">
        <v>321</v>
      </c>
      <c r="E139" s="12">
        <f t="shared" si="2"/>
        <v>17</v>
      </c>
      <c r="H139">
        <v>1</v>
      </c>
    </row>
    <row r="140" spans="1:11" ht="17">
      <c r="A140" s="1">
        <v>138</v>
      </c>
      <c r="B140" s="8" t="s">
        <v>212</v>
      </c>
      <c r="C140" s="4" t="s">
        <v>210</v>
      </c>
      <c r="D140" s="5" t="s">
        <v>213</v>
      </c>
      <c r="E140" s="12">
        <f t="shared" si="2"/>
        <v>7</v>
      </c>
    </row>
    <row r="141" spans="1:11" ht="17">
      <c r="A141" s="1">
        <v>139</v>
      </c>
      <c r="B141" s="8" t="s">
        <v>214</v>
      </c>
      <c r="C141" s="4" t="s">
        <v>0</v>
      </c>
      <c r="D141" s="5" t="s">
        <v>215</v>
      </c>
      <c r="E141" s="12">
        <f t="shared" si="2"/>
        <v>9</v>
      </c>
    </row>
    <row r="142" spans="1:11" ht="17">
      <c r="A142" s="1">
        <v>140</v>
      </c>
      <c r="B142" s="8" t="s">
        <v>216</v>
      </c>
      <c r="C142" s="4" t="s">
        <v>210</v>
      </c>
      <c r="D142" s="5" t="s">
        <v>217</v>
      </c>
      <c r="E142" s="12">
        <f t="shared" si="2"/>
        <v>11</v>
      </c>
    </row>
    <row r="143" spans="1:11" ht="17">
      <c r="A143" s="1">
        <v>141</v>
      </c>
      <c r="B143" s="8" t="s">
        <v>218</v>
      </c>
      <c r="C143" s="4" t="s">
        <v>0</v>
      </c>
      <c r="D143" s="5" t="s">
        <v>313</v>
      </c>
      <c r="E143" s="12">
        <f t="shared" si="2"/>
        <v>34</v>
      </c>
      <c r="K143">
        <v>1</v>
      </c>
    </row>
    <row r="144" spans="1:11" ht="17">
      <c r="A144" s="1">
        <v>142</v>
      </c>
      <c r="B144" s="8" t="s">
        <v>219</v>
      </c>
      <c r="C144" s="4" t="s">
        <v>220</v>
      </c>
      <c r="D144" s="5" t="s">
        <v>221</v>
      </c>
      <c r="E144" s="12">
        <f t="shared" si="2"/>
        <v>3</v>
      </c>
    </row>
    <row r="145" spans="1:6" ht="17">
      <c r="A145" s="1">
        <v>143</v>
      </c>
      <c r="B145" s="8" t="s">
        <v>222</v>
      </c>
      <c r="C145" s="4" t="s">
        <v>0</v>
      </c>
      <c r="D145" s="5" t="s">
        <v>322</v>
      </c>
      <c r="E145" s="12">
        <f t="shared" si="2"/>
        <v>22</v>
      </c>
    </row>
    <row r="146" spans="1:6" ht="17">
      <c r="A146" s="1">
        <v>144</v>
      </c>
      <c r="B146" s="8" t="s">
        <v>223</v>
      </c>
      <c r="C146" s="4" t="s">
        <v>220</v>
      </c>
      <c r="D146" s="5" t="s">
        <v>224</v>
      </c>
      <c r="E146" s="12">
        <f t="shared" si="2"/>
        <v>3</v>
      </c>
    </row>
    <row r="147" spans="1:6" ht="17">
      <c r="A147" s="1">
        <v>145</v>
      </c>
      <c r="B147" s="8" t="s">
        <v>225</v>
      </c>
      <c r="C147" s="4" t="s">
        <v>0</v>
      </c>
      <c r="D147" s="5" t="s">
        <v>226</v>
      </c>
      <c r="E147" s="12">
        <f t="shared" si="2"/>
        <v>8</v>
      </c>
    </row>
    <row r="148" spans="1:6" ht="17">
      <c r="A148" s="1">
        <v>146</v>
      </c>
      <c r="B148" s="8" t="s">
        <v>227</v>
      </c>
      <c r="C148" s="4" t="s">
        <v>220</v>
      </c>
      <c r="D148" s="5" t="s">
        <v>228</v>
      </c>
      <c r="E148" s="12">
        <f t="shared" si="2"/>
        <v>1</v>
      </c>
    </row>
    <row r="149" spans="1:6" ht="17">
      <c r="A149" s="1">
        <v>147</v>
      </c>
      <c r="B149" s="8" t="s">
        <v>229</v>
      </c>
      <c r="C149" s="4" t="s">
        <v>0</v>
      </c>
      <c r="D149" s="5" t="s">
        <v>230</v>
      </c>
      <c r="E149" s="12">
        <f t="shared" si="2"/>
        <v>11</v>
      </c>
    </row>
    <row r="150" spans="1:6" ht="17">
      <c r="A150" s="1">
        <v>148</v>
      </c>
      <c r="B150" s="8" t="s">
        <v>231</v>
      </c>
      <c r="C150" s="4" t="s">
        <v>210</v>
      </c>
      <c r="D150" s="5" t="s">
        <v>232</v>
      </c>
      <c r="E150" s="12">
        <f t="shared" si="2"/>
        <v>12</v>
      </c>
    </row>
    <row r="151" spans="1:6" ht="17">
      <c r="A151" s="1">
        <v>149</v>
      </c>
      <c r="B151" s="8" t="s">
        <v>233</v>
      </c>
      <c r="C151" s="4" t="s">
        <v>0</v>
      </c>
      <c r="D151" s="5" t="s">
        <v>314</v>
      </c>
      <c r="E151" s="12">
        <f t="shared" si="2"/>
        <v>109</v>
      </c>
    </row>
    <row r="152" spans="1:6" ht="17">
      <c r="A152" s="1">
        <v>150</v>
      </c>
      <c r="B152" s="8" t="s">
        <v>234</v>
      </c>
      <c r="C152" s="4" t="s">
        <v>235</v>
      </c>
      <c r="D152" s="5" t="s">
        <v>236</v>
      </c>
      <c r="E152" s="12">
        <f t="shared" si="2"/>
        <v>11</v>
      </c>
    </row>
    <row r="153" spans="1:6" ht="17">
      <c r="A153" s="1">
        <v>151</v>
      </c>
      <c r="B153" s="8" t="s">
        <v>237</v>
      </c>
      <c r="C153" s="4" t="s">
        <v>0</v>
      </c>
      <c r="D153" s="5" t="s">
        <v>238</v>
      </c>
      <c r="E153" s="12">
        <f t="shared" si="2"/>
        <v>9</v>
      </c>
      <c r="F153">
        <v>1</v>
      </c>
    </row>
    <row r="154" spans="1:6" ht="17">
      <c r="A154" s="1">
        <v>152</v>
      </c>
      <c r="B154" s="8" t="s">
        <v>239</v>
      </c>
      <c r="C154" s="4" t="s">
        <v>235</v>
      </c>
      <c r="D154" s="5" t="s">
        <v>120</v>
      </c>
      <c r="E154" s="12">
        <f t="shared" si="2"/>
        <v>1</v>
      </c>
    </row>
    <row r="155" spans="1:6" ht="17">
      <c r="A155" s="1">
        <v>153</v>
      </c>
      <c r="B155" s="8" t="s">
        <v>240</v>
      </c>
      <c r="C155" s="4" t="s">
        <v>0</v>
      </c>
      <c r="D155" s="5" t="s">
        <v>241</v>
      </c>
      <c r="E155" s="12">
        <f t="shared" si="2"/>
        <v>14</v>
      </c>
    </row>
    <row r="156" spans="1:6" ht="17">
      <c r="A156" s="1">
        <v>154</v>
      </c>
      <c r="B156" s="8" t="s">
        <v>242</v>
      </c>
      <c r="C156" s="4" t="s">
        <v>220</v>
      </c>
      <c r="D156" s="5" t="s">
        <v>243</v>
      </c>
      <c r="E156" s="12">
        <f t="shared" si="2"/>
        <v>6</v>
      </c>
    </row>
    <row r="157" spans="1:6" ht="17">
      <c r="A157" s="1">
        <v>155</v>
      </c>
      <c r="B157" s="8" t="s">
        <v>244</v>
      </c>
      <c r="C157" s="4" t="s">
        <v>0</v>
      </c>
      <c r="D157" s="5" t="s">
        <v>319</v>
      </c>
      <c r="E157" s="12">
        <f t="shared" si="2"/>
        <v>26</v>
      </c>
      <c r="F157">
        <v>1</v>
      </c>
    </row>
    <row r="158" spans="1:6" ht="17">
      <c r="A158" s="1">
        <v>156</v>
      </c>
      <c r="B158" s="8" t="s">
        <v>245</v>
      </c>
      <c r="C158" s="4" t="s">
        <v>220</v>
      </c>
      <c r="D158" s="5" t="s">
        <v>315</v>
      </c>
      <c r="E158" s="12">
        <f t="shared" si="2"/>
        <v>54</v>
      </c>
    </row>
    <row r="159" spans="1:6" ht="17">
      <c r="A159" s="1">
        <v>157</v>
      </c>
      <c r="B159" s="8" t="s">
        <v>246</v>
      </c>
      <c r="C159" s="4" t="s">
        <v>0</v>
      </c>
      <c r="D159" s="5" t="s">
        <v>316</v>
      </c>
      <c r="E159" s="12">
        <f t="shared" si="2"/>
        <v>163</v>
      </c>
    </row>
    <row r="160" spans="1:6" ht="17">
      <c r="A160" s="1">
        <v>158</v>
      </c>
      <c r="B160" s="8" t="s">
        <v>247</v>
      </c>
      <c r="C160" s="4" t="s">
        <v>248</v>
      </c>
      <c r="D160" s="5" t="s">
        <v>249</v>
      </c>
      <c r="E160" s="12">
        <f t="shared" si="2"/>
        <v>4</v>
      </c>
    </row>
    <row r="161" spans="1:13" ht="17">
      <c r="A161" s="1">
        <v>159</v>
      </c>
      <c r="B161" s="8" t="s">
        <v>250</v>
      </c>
      <c r="C161" s="4" t="s">
        <v>0</v>
      </c>
      <c r="D161" s="5" t="s">
        <v>251</v>
      </c>
      <c r="E161" s="12">
        <f t="shared" si="2"/>
        <v>1</v>
      </c>
    </row>
    <row r="162" spans="1:13" ht="17">
      <c r="A162" s="1">
        <v>160</v>
      </c>
      <c r="B162" s="8" t="s">
        <v>252</v>
      </c>
      <c r="C162" s="4" t="s">
        <v>248</v>
      </c>
      <c r="D162" s="5" t="s">
        <v>253</v>
      </c>
      <c r="E162" s="12">
        <f t="shared" si="2"/>
        <v>2</v>
      </c>
    </row>
    <row r="163" spans="1:13" ht="17">
      <c r="A163" s="1">
        <v>161</v>
      </c>
      <c r="B163" s="8" t="s">
        <v>254</v>
      </c>
      <c r="C163" s="4" t="s">
        <v>0</v>
      </c>
      <c r="D163" s="5" t="s">
        <v>255</v>
      </c>
      <c r="E163" s="12">
        <f t="shared" si="2"/>
        <v>2</v>
      </c>
    </row>
    <row r="164" spans="1:13" ht="17">
      <c r="A164" s="1">
        <v>162</v>
      </c>
      <c r="B164" s="8" t="s">
        <v>256</v>
      </c>
      <c r="C164" s="4" t="s">
        <v>248</v>
      </c>
      <c r="D164" s="5" t="s">
        <v>257</v>
      </c>
      <c r="E164" s="12">
        <f t="shared" si="2"/>
        <v>6</v>
      </c>
    </row>
    <row r="165" spans="1:13" ht="17">
      <c r="A165" s="1">
        <v>163</v>
      </c>
      <c r="B165" s="8" t="s">
        <v>258</v>
      </c>
      <c r="C165" s="4" t="s">
        <v>0</v>
      </c>
      <c r="D165" s="5" t="s">
        <v>317</v>
      </c>
      <c r="E165" s="12">
        <f t="shared" si="2"/>
        <v>61</v>
      </c>
    </row>
    <row r="166" spans="1:13" ht="17">
      <c r="A166" s="1">
        <v>164</v>
      </c>
      <c r="B166" s="8" t="s">
        <v>259</v>
      </c>
      <c r="C166" s="4" t="s">
        <v>248</v>
      </c>
      <c r="D166" s="5" t="s">
        <v>260</v>
      </c>
      <c r="E166" s="12">
        <f t="shared" si="2"/>
        <v>5</v>
      </c>
    </row>
    <row r="167" spans="1:13" ht="17">
      <c r="A167" s="1">
        <v>165</v>
      </c>
      <c r="B167" s="8" t="s">
        <v>261</v>
      </c>
      <c r="C167" s="4" t="s">
        <v>298</v>
      </c>
      <c r="D167" s="5" t="s">
        <v>318</v>
      </c>
      <c r="E167" s="12">
        <f t="shared" si="2"/>
        <v>190</v>
      </c>
    </row>
    <row r="170" spans="1:13" ht="16">
      <c r="D170" s="12" t="s">
        <v>292</v>
      </c>
      <c r="E170" s="13">
        <f>SUM(E3:E167)</f>
        <v>3201</v>
      </c>
      <c r="F170" s="13">
        <f t="shared" ref="F170:M170" si="3">SUM(F3:F167)</f>
        <v>3</v>
      </c>
      <c r="G170" s="13">
        <f t="shared" si="3"/>
        <v>2</v>
      </c>
      <c r="H170" s="13">
        <f t="shared" si="3"/>
        <v>3</v>
      </c>
      <c r="I170" s="13">
        <f t="shared" si="3"/>
        <v>0</v>
      </c>
      <c r="J170" s="13">
        <f t="shared" si="3"/>
        <v>0</v>
      </c>
      <c r="K170" s="13">
        <f t="shared" si="3"/>
        <v>5</v>
      </c>
      <c r="L170" s="13">
        <f t="shared" si="3"/>
        <v>3</v>
      </c>
      <c r="M170" s="13">
        <f t="shared" si="3"/>
        <v>1</v>
      </c>
    </row>
    <row r="171" spans="1:13">
      <c r="D171" s="13" t="s">
        <v>293</v>
      </c>
      <c r="E171" s="13">
        <f>SUMIF(C3:C167, "Teacher: ", E3:E167)</f>
        <v>2615</v>
      </c>
    </row>
    <row r="172" spans="1:13">
      <c r="D172" s="13" t="s">
        <v>294</v>
      </c>
      <c r="E172" s="13">
        <f>E170-E171</f>
        <v>586</v>
      </c>
    </row>
    <row r="173" spans="1:13">
      <c r="D173" s="13" t="s">
        <v>295</v>
      </c>
      <c r="E173" s="13">
        <v>165</v>
      </c>
    </row>
    <row r="174" spans="1:13">
      <c r="D174" s="13" t="s">
        <v>296</v>
      </c>
      <c r="E174" s="13">
        <f>COUNTIF(C3:C167, "Teacher: ")</f>
        <v>80</v>
      </c>
    </row>
    <row r="175" spans="1:13">
      <c r="D175" s="13" t="s">
        <v>297</v>
      </c>
      <c r="E175" s="13">
        <f>E173-E174</f>
        <v>85</v>
      </c>
    </row>
  </sheetData>
  <mergeCells count="6">
    <mergeCell ref="A1:A2"/>
    <mergeCell ref="B1:B2"/>
    <mergeCell ref="C1:C2"/>
    <mergeCell ref="D1:D2"/>
    <mergeCell ref="E1:E2"/>
    <mergeCell ref="F1:M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Munene</dc:creator>
  <cp:lastModifiedBy>susan zhou</cp:lastModifiedBy>
  <dcterms:created xsi:type="dcterms:W3CDTF">2026-03-23T18:33:29Z</dcterms:created>
  <dcterms:modified xsi:type="dcterms:W3CDTF">2026-05-21T08:25:03Z</dcterms:modified>
</cp:coreProperties>
</file>