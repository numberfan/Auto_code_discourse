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mc:AlternateContent xmlns:mc="http://schemas.openxmlformats.org/markup-compatibility/2006">
    <mc:Choice Requires="x15">
      <x15ac:absPath xmlns:x15ac="http://schemas.microsoft.com/office/spreadsheetml/2010/11/ac" url="https://d.docs.live.net/529a137f6cc16f6a/课内相关/京师人/学业/各种项目/2026上半年陶瓷/ChenGaowei/5.5编码任务/"/>
    </mc:Choice>
  </mc:AlternateContent>
  <xr:revisionPtr revIDLastSave="8" documentId="8_{2E6397C7-4BB7-1D41-A1FA-D5508EB2E882}" xr6:coauthVersionLast="47" xr6:coauthVersionMax="47" xr10:uidLastSave="{41671881-E6C6-854C-811D-26BC07296F13}"/>
  <bookViews>
    <workbookView xWindow="0" yWindow="740" windowWidth="29400" windowHeight="18380" xr2:uid="{00000000-000D-0000-FFFF-FFFF00000000}"/>
  </bookViews>
  <sheets>
    <sheet name="SubtitleContentTmpl-72724"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1" i="1" l="1"/>
  <c r="F179" i="1"/>
  <c r="G179" i="1"/>
  <c r="H179" i="1"/>
  <c r="I179" i="1"/>
  <c r="J179" i="1"/>
  <c r="K179" i="1"/>
  <c r="L179" i="1"/>
  <c r="M179"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3" i="1"/>
  <c r="E179" i="1" l="1"/>
</calcChain>
</file>

<file path=xl/sharedStrings.xml><?xml version="1.0" encoding="utf-8"?>
<sst xmlns="http://schemas.openxmlformats.org/spreadsheetml/2006/main" count="725" uniqueCount="547">
  <si>
    <t>Number</t>
  </si>
  <si>
    <t>Speaker</t>
  </si>
  <si>
    <t>Utterance</t>
  </si>
  <si>
    <t>1</t>
  </si>
  <si>
    <t>Teacher</t>
  </si>
  <si>
    <t>2</t>
  </si>
  <si>
    <t>00:17-00:18</t>
  </si>
  <si>
    <t>Jovin</t>
  </si>
  <si>
    <t>Yes.</t>
  </si>
  <si>
    <t>3</t>
  </si>
  <si>
    <t>00:18-00:21</t>
  </si>
  <si>
    <r>
      <rPr>
        <sz val="11"/>
        <color indexed="8"/>
        <rFont val="Aptos Narrow"/>
      </rPr>
      <t>W</t>
    </r>
    <r>
      <rPr>
        <sz val="11"/>
        <color indexed="8"/>
        <rFont val="Aptos Narrow"/>
      </rPr>
      <t>hich chapter were you supposed to read up to?</t>
    </r>
  </si>
  <si>
    <t>4</t>
  </si>
  <si>
    <t>00:21-00:22</t>
  </si>
  <si>
    <t>14.</t>
  </si>
  <si>
    <t>5</t>
  </si>
  <si>
    <t>00:22-00:24</t>
  </si>
  <si>
    <t>What chapter?</t>
  </si>
  <si>
    <t>6</t>
  </si>
  <si>
    <t>00:24-00:25</t>
  </si>
  <si>
    <t>Student 1</t>
  </si>
  <si>
    <t>45.</t>
  </si>
  <si>
    <t>7</t>
  </si>
  <si>
    <t>00:25-01:10</t>
  </si>
  <si>
    <t>8</t>
  </si>
  <si>
    <t>01:10-01:12</t>
  </si>
  <si>
    <t>Jessica</t>
  </si>
  <si>
    <t>To keep order.</t>
  </si>
  <si>
    <t>9</t>
  </si>
  <si>
    <t>01:12-01:22</t>
  </si>
  <si>
    <t>To keep order. Why is it important that they keep order? Can you explain? No? Anyone help her out. Who can expand on that? Why is it important that they keep order?</t>
  </si>
  <si>
    <t>10</t>
  </si>
  <si>
    <t>01:22-01:23</t>
  </si>
  <si>
    <t>Uh, to prevent chaos.</t>
  </si>
  <si>
    <t>11</t>
  </si>
  <si>
    <t>01:23-01:46</t>
  </si>
  <si>
    <t>12</t>
  </si>
  <si>
    <t>01:46-01:48</t>
  </si>
  <si>
    <t>No, no, no, no.</t>
  </si>
  <si>
    <t>13</t>
  </si>
  <si>
    <t>01:38-01:51</t>
  </si>
  <si>
    <r>
      <rPr>
        <sz val="11"/>
        <color indexed="8"/>
        <rFont val="Aptos Narrow"/>
      </rPr>
      <t xml:space="preserve">No?, </t>
    </r>
    <r>
      <rPr>
        <sz val="11"/>
        <color indexed="8"/>
        <rFont val="Aptos Narrow"/>
      </rPr>
      <t>You don't think life works like that? Why not?</t>
    </r>
  </si>
  <si>
    <t>14</t>
  </si>
  <si>
    <t>01:51-01:57</t>
  </si>
  <si>
    <t>It might just be luck. Might just be lucky.</t>
  </si>
  <si>
    <t>15</t>
  </si>
  <si>
    <t>01:57-02:10</t>
  </si>
  <si>
    <t>16</t>
  </si>
  <si>
    <t>02:10-02:12</t>
  </si>
  <si>
    <t>Promotion.</t>
  </si>
  <si>
    <t>17</t>
  </si>
  <si>
    <t>02:12-02:59</t>
  </si>
  <si>
    <t>18</t>
  </si>
  <si>
    <t>02:59-03:01</t>
  </si>
  <si>
    <t>Phillip</t>
  </si>
  <si>
    <t>Myself.</t>
  </si>
  <si>
    <t>19</t>
  </si>
  <si>
    <t>03:01-03:04</t>
  </si>
  <si>
    <t>Yourself. If you have to take one of the two people, which, which person?</t>
  </si>
  <si>
    <t>20</t>
  </si>
  <si>
    <t>03:04-03:06</t>
  </si>
  <si>
    <t>The one that just started.</t>
  </si>
  <si>
    <t>21</t>
  </si>
  <si>
    <t>03:06-03:08</t>
  </si>
  <si>
    <t>The one that started soon?</t>
  </si>
  <si>
    <t>22</t>
  </si>
  <si>
    <t>03:08-03:09</t>
  </si>
  <si>
    <t>Yeah.</t>
  </si>
  <si>
    <t>23</t>
  </si>
  <si>
    <t>03:09-03:11</t>
  </si>
  <si>
    <t>Why is that?</t>
  </si>
  <si>
    <t>24</t>
  </si>
  <si>
    <t>03:11-03:13</t>
  </si>
  <si>
    <t>Because he is already better.</t>
  </si>
  <si>
    <t>25</t>
  </si>
  <si>
    <t>03:13-03:16</t>
  </si>
  <si>
    <t>He's already better. Does anyone else agree with Philip?</t>
  </si>
  <si>
    <t>26</t>
  </si>
  <si>
    <t>03:16-03:18</t>
  </si>
  <si>
    <t>Ryan</t>
  </si>
  <si>
    <t>Potentially, potentially.</t>
  </si>
  <si>
    <t>27</t>
  </si>
  <si>
    <t>03:18-03:20</t>
  </si>
  <si>
    <t>Potentially? Why do you potentially agree?</t>
  </si>
  <si>
    <t>28</t>
  </si>
  <si>
    <t>03:20-03:22</t>
  </si>
  <si>
    <t>Because he has potential.</t>
  </si>
  <si>
    <t>29</t>
  </si>
  <si>
    <t>03:22-03:38</t>
  </si>
  <si>
    <r>
      <rPr>
        <sz val="11"/>
        <color indexed="8"/>
        <rFont val="Aptos Narrow"/>
      </rPr>
      <t>H</t>
    </r>
    <r>
      <rPr>
        <sz val="11"/>
        <color indexed="8"/>
        <rFont val="Aptos Narrow"/>
      </rPr>
      <t>e has potential? Does anyone disagree? Does anyone here gonna pick the person who's been practicing for years and years and ears? Explain that. Why would you pick that person? Why wouldn't you pick that person?</t>
    </r>
  </si>
  <si>
    <t>30</t>
  </si>
  <si>
    <t>03:38-03:51</t>
  </si>
  <si>
    <t>(inaudible)</t>
  </si>
  <si>
    <t>31</t>
  </si>
  <si>
    <t>03:51-04:07</t>
  </si>
  <si>
    <t>Alright. Um, Selena, what would you pick? Would you agree with them? Would you pick somebody who just started playing and do really well? Or would you pick somebody who's less good that has years and years of experience?</t>
  </si>
  <si>
    <t>32</t>
  </si>
  <si>
    <t>04:07-04:14</t>
  </si>
  <si>
    <t>Selena</t>
  </si>
  <si>
    <t>33</t>
  </si>
  <si>
    <t>04:14-04:15</t>
  </si>
  <si>
    <t>The what?</t>
  </si>
  <si>
    <t>34</t>
  </si>
  <si>
    <t>04:15-04:18</t>
  </si>
  <si>
    <t>35</t>
  </si>
  <si>
    <t>04:18-04:43</t>
  </si>
  <si>
    <t>36</t>
  </si>
  <si>
    <t>04:43-04:44</t>
  </si>
  <si>
    <t>Jayden</t>
  </si>
  <si>
    <t>37</t>
  </si>
  <si>
    <t>04:44-04:47</t>
  </si>
  <si>
    <t>Yes. Why is that?</t>
  </si>
  <si>
    <t>38</t>
  </si>
  <si>
    <t>04:47-04:49</t>
  </si>
  <si>
    <t>Because he is better.</t>
  </si>
  <si>
    <t>39</t>
  </si>
  <si>
    <t>04:49-05:38</t>
  </si>
  <si>
    <t>40</t>
  </si>
  <si>
    <t>05:38-05:42</t>
  </si>
  <si>
    <t>Ethan</t>
  </si>
  <si>
    <t>I think Galley would be really mad.</t>
  </si>
  <si>
    <t>41</t>
  </si>
  <si>
    <t>05:42-05:46</t>
  </si>
  <si>
    <t>Why, what is the source of his anger?</t>
  </si>
  <si>
    <t>42</t>
  </si>
  <si>
    <t>05:46-05:51</t>
  </si>
  <si>
    <t>Uh, in general. He is just angry in general.</t>
  </si>
  <si>
    <t>43</t>
  </si>
  <si>
    <t>05:51-05:55</t>
  </si>
  <si>
    <t>44</t>
  </si>
  <si>
    <t>05:55-05:58</t>
  </si>
  <si>
    <t>He is a very hot-headed individual.</t>
  </si>
  <si>
    <t>45</t>
  </si>
  <si>
    <t>05:58-06:06</t>
  </si>
  <si>
    <t>Very hot headed person. Patricia, do you agree with that, he's just a very hot headed person?</t>
  </si>
  <si>
    <t>46</t>
  </si>
  <si>
    <t>06:06-06:08</t>
  </si>
  <si>
    <t>Patricia</t>
  </si>
  <si>
    <t>Yeah, I agree.</t>
  </si>
  <si>
    <t>47</t>
  </si>
  <si>
    <t>06:06-06:13</t>
  </si>
  <si>
    <t>Does anyone disagree? Alyssa?</t>
  </si>
  <si>
    <t>48</t>
  </si>
  <si>
    <t>06:13-06:24</t>
  </si>
  <si>
    <t>Alyssa</t>
  </si>
  <si>
    <t>49</t>
  </si>
  <si>
    <t>06:24-06:52</t>
  </si>
  <si>
    <t>50</t>
  </si>
  <si>
    <t>06:52-06:54</t>
  </si>
  <si>
    <t>Jealous.</t>
  </si>
  <si>
    <t>51</t>
  </si>
  <si>
    <t>06:54-06:58</t>
  </si>
  <si>
    <t>Jealous. Any other feelings?</t>
  </si>
  <si>
    <t>52</t>
  </si>
  <si>
    <t>06:58-07:00</t>
  </si>
  <si>
    <t>Uh, disgusted.</t>
  </si>
  <si>
    <t>53</t>
  </si>
  <si>
    <t>07:00-07:06</t>
  </si>
  <si>
    <t>Okay. You said disgusted. Explain about, explain on that. Jovin, why'd you say disgusted?</t>
  </si>
  <si>
    <t>54</t>
  </si>
  <si>
    <t>07:06-07:15</t>
  </si>
  <si>
    <t>Because he already told Thomas. Is Galley a boy?</t>
  </si>
  <si>
    <t>55</t>
  </si>
  <si>
    <t>07:15-07:17</t>
  </si>
  <si>
    <t>Galley’s a boy.</t>
  </si>
  <si>
    <t>56</t>
  </si>
  <si>
    <t>07:17-07:20</t>
  </si>
  <si>
    <t>57</t>
  </si>
  <si>
    <t>07:20-08:13</t>
  </si>
  <si>
    <t>58</t>
  </si>
  <si>
    <t>08:13-08:17</t>
  </si>
  <si>
    <t>Student 2</t>
  </si>
  <si>
    <t>59</t>
  </si>
  <si>
    <t>08:17-08:18</t>
  </si>
  <si>
    <t>Because you think what?</t>
  </si>
  <si>
    <t>60</t>
  </si>
  <si>
    <t>08:18-08:20</t>
  </si>
  <si>
    <t>He lost his mind.</t>
  </si>
  <si>
    <t>61</t>
  </si>
  <si>
    <t>08:20-08:24</t>
  </si>
  <si>
    <t>He's just lost his mind. Uh, Gabriel, what do you think? Would you have any sympathy for Galley?</t>
  </si>
  <si>
    <t>62</t>
  </si>
  <si>
    <t>08:24-08:25</t>
  </si>
  <si>
    <t>Gabriel</t>
  </si>
  <si>
    <t>No</t>
  </si>
  <si>
    <t>63</t>
  </si>
  <si>
    <t>08:25-08:27</t>
  </si>
  <si>
    <t>No, why not?</t>
  </si>
  <si>
    <t>64</t>
  </si>
  <si>
    <t>08:27-08:30</t>
  </si>
  <si>
    <t>You must not have sympathy for enemies. You must destroy them.</t>
  </si>
  <si>
    <t>65</t>
  </si>
  <si>
    <t>08:30-08:33</t>
  </si>
  <si>
    <t>So you think Galley would be the enemy?</t>
  </si>
  <si>
    <t>66</t>
  </si>
  <si>
    <t>08:33-08:34</t>
  </si>
  <si>
    <t>67</t>
  </si>
  <si>
    <t>08:34-08:38</t>
  </si>
  <si>
    <t>Yeah. Anyone else agree with that? Lynn, do you agree with that?</t>
  </si>
  <si>
    <t>68</t>
  </si>
  <si>
    <t>08:38-08:39</t>
  </si>
  <si>
    <t>Lynn</t>
  </si>
  <si>
    <t>69</t>
  </si>
  <si>
    <t>08:39-08:45</t>
  </si>
  <si>
    <t>What did he say? What did Gabriel say?</t>
  </si>
  <si>
    <t>70</t>
  </si>
  <si>
    <t>08:45-08:49</t>
  </si>
  <si>
    <t>I didn’t hear.</t>
  </si>
  <si>
    <t>71</t>
  </si>
  <si>
    <t>08:49-08:53</t>
  </si>
  <si>
    <t>You didn’t hear. Gabriel, what did you say?</t>
  </si>
  <si>
    <t>72</t>
  </si>
  <si>
    <t>08:53-08:56</t>
  </si>
  <si>
    <t>I said Galley could be the enemy.</t>
  </si>
  <si>
    <t>73</t>
  </si>
  <si>
    <t>08:56-09:07</t>
  </si>
  <si>
    <t>So can I have to think what? The enemies must be destroyed. And he views Galley as the enemy. Do you agree with that?</t>
  </si>
  <si>
    <t>74</t>
  </si>
  <si>
    <t>09:07-09:28</t>
  </si>
  <si>
    <t>75</t>
  </si>
  <si>
    <t>09:28-10:40</t>
  </si>
  <si>
    <t>76</t>
  </si>
  <si>
    <t>10:40-10:43</t>
  </si>
  <si>
    <t>He wants to be a runner.</t>
  </si>
  <si>
    <t>77</t>
  </si>
  <si>
    <t>10:43-10:50</t>
  </si>
  <si>
    <t>Because he wants to be a runner. So you're saying what being your runner is what he wants. So it is his goal.</t>
  </si>
  <si>
    <t>78</t>
  </si>
  <si>
    <t>10:50-10:51</t>
  </si>
  <si>
    <t>79</t>
  </si>
  <si>
    <t>10:51-10:54</t>
  </si>
  <si>
    <t>So he's willing to follow the rules to get his goal.</t>
  </si>
  <si>
    <t>80</t>
  </si>
  <si>
    <t>10:54-10:55</t>
  </si>
  <si>
    <t>81</t>
  </si>
  <si>
    <t>10:55-10:58</t>
  </si>
  <si>
    <t>And he breaks the rules, when?</t>
  </si>
  <si>
    <t>82</t>
  </si>
  <si>
    <t>10:58-11:02</t>
  </si>
  <si>
    <t>When he runs away.</t>
  </si>
  <si>
    <t>83</t>
  </si>
  <si>
    <t>11:02-11:03</t>
  </si>
  <si>
    <t>Do you remember why he broke the rule?</t>
  </si>
  <si>
    <t>84</t>
  </si>
  <si>
    <t>11:03-11:05</t>
  </si>
  <si>
    <t>Because he wanted to save his friend.</t>
  </si>
  <si>
    <t>85</t>
  </si>
  <si>
    <t>11:05-11:21</t>
  </si>
  <si>
    <t>86</t>
  </si>
  <si>
    <t>11:21-11:39</t>
  </si>
  <si>
    <t>I think he understands. (inaudible)</t>
  </si>
  <si>
    <t>87</t>
  </si>
  <si>
    <t>11:39-11:48</t>
  </si>
  <si>
    <t>Okay. Uh, you said he wants to get other people's support. Why is it important that he gets support?</t>
  </si>
  <si>
    <t>88</t>
  </si>
  <si>
    <t>11:48-12:01</t>
  </si>
  <si>
    <t>89</t>
  </si>
  <si>
    <t>12:01-12:28</t>
  </si>
  <si>
    <t>90</t>
  </si>
  <si>
    <t>12:28-12:30</t>
  </si>
  <si>
    <t>He found the hole.</t>
  </si>
  <si>
    <t>91</t>
  </si>
  <si>
    <t>12:30-12:31</t>
  </si>
  <si>
    <t>He found the what?</t>
  </si>
  <si>
    <t>92</t>
  </si>
  <si>
    <t>12:31-12:32</t>
  </si>
  <si>
    <t>The hole.</t>
  </si>
  <si>
    <t>93</t>
  </si>
  <si>
    <t>12:32-13:03</t>
  </si>
  <si>
    <r>
      <rPr>
        <sz val="11"/>
        <color indexed="8"/>
        <rFont val="Aptos Narrow"/>
      </rPr>
      <t xml:space="preserve">He found the hole on the first day? </t>
    </r>
    <r>
      <rPr>
        <sz val="11"/>
        <color indexed="8"/>
        <rFont val="Aptos Narrow"/>
      </rPr>
      <t> </t>
    </r>
    <r>
      <rPr>
        <sz val="11"/>
        <color indexed="8"/>
        <rFont val="Aptos Narrow"/>
      </rPr>
      <t>Oh no. As Jovin said, nothing really exciting happened that first day, at least. I don't think anything exciting happens. Anyone have a different opinion they want to share? Anyone wanna challenge that? However he hears something at night, at the end of the day. Do you remember what he hears? Clarence, do you remember what he hears?</t>
    </r>
  </si>
  <si>
    <t>94</t>
  </si>
  <si>
    <t>13:03-13:05</t>
  </si>
  <si>
    <t>Clarence</t>
  </si>
  <si>
    <t>I don’t know, I forgot.</t>
  </si>
  <si>
    <t>95</t>
  </si>
  <si>
    <t>13:05-13:18</t>
  </si>
  <si>
    <t>Anyone remember what he hears? What about I give you a hint. He doesn't really hear it with his ears, but he hears it with his mind. Oh, he said? He said, oh, Jessica?</t>
  </si>
  <si>
    <t>96</t>
  </si>
  <si>
    <t>13:18-13:26</t>
  </si>
  <si>
    <t>97</t>
  </si>
  <si>
    <t>13:26-14:02</t>
  </si>
  <si>
    <t>98</t>
  </si>
  <si>
    <t>14:02-14:09</t>
  </si>
  <si>
    <t>Ruby</t>
  </si>
  <si>
    <t>Yeah. (inaudible)</t>
  </si>
  <si>
    <t>99</t>
  </si>
  <si>
    <t>14:09-14:14</t>
  </si>
  <si>
    <t>So, what is their purpose?</t>
  </si>
  <si>
    <t>100</t>
  </si>
  <si>
    <t>14:14-14:19</t>
  </si>
  <si>
    <t>To get out of the glade.</t>
  </si>
  <si>
    <t>101</t>
  </si>
  <si>
    <t>14:19-14:22</t>
  </si>
  <si>
    <t>Alright, good. David, did you hear what she said?</t>
  </si>
  <si>
    <t>102</t>
  </si>
  <si>
    <t>14:22-14:24</t>
  </si>
  <si>
    <t>David.</t>
  </si>
  <si>
    <t>No.</t>
  </si>
  <si>
    <t>103</t>
  </si>
  <si>
    <t>14:24-14:30</t>
  </si>
  <si>
    <t>You need, listen. What do you think she said? What's the purpose?</t>
  </si>
  <si>
    <t>104</t>
  </si>
  <si>
    <t>14:30-14:35</t>
  </si>
  <si>
    <t>David</t>
  </si>
  <si>
    <t>Everything has a purpose.</t>
  </si>
  <si>
    <t>105</t>
  </si>
  <si>
    <t>14:35-14:40</t>
  </si>
  <si>
    <t>All right. Ethan, did you hear what Ruby said?</t>
  </si>
  <si>
    <t>106</t>
  </si>
  <si>
    <t>14:40-14:44</t>
  </si>
  <si>
    <t>She spoke too softly.</t>
  </si>
  <si>
    <t>107</t>
  </si>
  <si>
    <t>14:44-15:20</t>
  </si>
  <si>
    <r>
      <rPr>
        <sz val="11"/>
        <color indexed="8"/>
        <rFont val="Aptos Narrow"/>
      </rPr>
      <t>O</t>
    </r>
    <r>
      <rPr>
        <sz val="11"/>
        <color indexed="8"/>
        <rFont val="Aptos Narrow"/>
      </rPr>
      <t>kay. Ah, she said the purpose is now to get out of the glade. Um, do you think the experiment's a failure? No, why not? I probably shouldn't ask you. You've actually read the entire book, so you know what happens at the end. Um, let's see. Ethan, do you think the experiment's a failure? What do you think it is?</t>
    </r>
  </si>
  <si>
    <t>108</t>
  </si>
  <si>
    <t>15:20-15:22</t>
  </si>
  <si>
    <t>Not sure.</t>
  </si>
  <si>
    <t>109</t>
  </si>
  <si>
    <t>15:22-15:47</t>
  </si>
  <si>
    <t>110</t>
  </si>
  <si>
    <t>15:47-15:48</t>
  </si>
  <si>
    <t>Andrew</t>
  </si>
  <si>
    <t>111</t>
  </si>
  <si>
    <t>15:48-15:50</t>
  </si>
  <si>
    <t>So, now they are.</t>
  </si>
  <si>
    <t>112</t>
  </si>
  <si>
    <t>15:50-15:51</t>
  </si>
  <si>
    <t>Something is changing.</t>
  </si>
  <si>
    <t>113</t>
  </si>
  <si>
    <t>15:51-16:01</t>
  </si>
  <si>
    <t>Something is changing. Uh, what could that something be? Anyone else have an idea? What could it be?</t>
  </si>
  <si>
    <t>114</t>
  </si>
  <si>
    <t>16:01-16:05</t>
  </si>
  <si>
    <t>Grievers can come in during the night.</t>
  </si>
  <si>
    <t>115</t>
  </si>
  <si>
    <t>16:05-16:18</t>
  </si>
  <si>
    <t>116</t>
  </si>
  <si>
    <t>16:18-16:19</t>
  </si>
  <si>
    <t>Protection.</t>
  </si>
  <si>
    <t>117</t>
  </si>
  <si>
    <t>16:19-16:26</t>
  </si>
  <si>
    <t>Protection. Uh, a sense of… Any ideas Phillip?</t>
  </si>
  <si>
    <t>118</t>
  </si>
  <si>
    <t>16:26-16:30</t>
  </si>
  <si>
    <t>Yes. A sense of safety.</t>
  </si>
  <si>
    <t>119</t>
  </si>
  <si>
    <t>16:30-17:07</t>
  </si>
  <si>
    <t>120</t>
  </si>
  <si>
    <t>17:07-17:10</t>
  </si>
  <si>
    <t>121</t>
  </si>
  <si>
    <t>17:10-17:14</t>
  </si>
  <si>
    <t>No. Why? Why is it not a coincidence? '</t>
  </si>
  <si>
    <t>122</t>
  </si>
  <si>
    <t>17:14-17:18</t>
  </si>
  <si>
    <r>
      <rPr>
        <sz val="11"/>
        <color indexed="8"/>
        <rFont val="Aptos Narrow"/>
      </rPr>
      <t>Bec</t>
    </r>
    <r>
      <rPr>
        <sz val="11"/>
        <color indexed="8"/>
        <rFont val="Aptos Narrow"/>
      </rPr>
      <t>ause the world can't just shut down in one night.</t>
    </r>
  </si>
  <si>
    <t>123</t>
  </si>
  <si>
    <t>17:18-17:22</t>
  </si>
  <si>
    <t>The world can't just shut down in one night. Are you sure?</t>
  </si>
  <si>
    <t>124</t>
  </si>
  <si>
    <t>17:22-17:30</t>
  </si>
  <si>
    <t>Uh, well sometimes it can, but usually it does not.</t>
  </si>
  <si>
    <t>125</t>
  </si>
  <si>
    <t>17:30-17:33</t>
  </si>
  <si>
    <t>So you're saying too many things happened at once for it to be just a coincidence?</t>
  </si>
  <si>
    <t>126</t>
  </si>
  <si>
    <t>17:33-17:35</t>
  </si>
  <si>
    <t>Yeah, yeah.</t>
  </si>
  <si>
    <t>127</t>
  </si>
  <si>
    <t>17:35-17:45</t>
  </si>
  <si>
    <t>So why do you think that creators would suddenly change all these rules and have everything happen and leave the doors open? William, what do you think?</t>
  </si>
  <si>
    <t>128</t>
  </si>
  <si>
    <t>17:45-17:49</t>
  </si>
  <si>
    <t>William</t>
  </si>
  <si>
    <t>I think they want to experiment.</t>
  </si>
  <si>
    <t>129</t>
  </si>
  <si>
    <t>17:49-17:52</t>
  </si>
  <si>
    <t>Really? What do they want to experiment with exactly?</t>
  </si>
  <si>
    <t>130</t>
  </si>
  <si>
    <t>17:52-17:57</t>
  </si>
  <si>
    <t>How they react… (inaudible)</t>
  </si>
  <si>
    <t>131</t>
  </si>
  <si>
    <t>17:57-18:02</t>
  </si>
  <si>
    <t>Okay. Did you hear what he said?</t>
  </si>
  <si>
    <t>132</t>
  </si>
  <si>
    <t>18:02-18:04</t>
  </si>
  <si>
    <t>Student 3</t>
  </si>
  <si>
    <t>Experiment.</t>
  </si>
  <si>
    <t>133</t>
  </si>
  <si>
    <t>18:04-18:06</t>
  </si>
  <si>
    <t>Experiment on what?</t>
  </si>
  <si>
    <t>134</t>
  </si>
  <si>
    <t>18:06-18:08</t>
  </si>
  <si>
    <t>Like, seeing how they survive.</t>
  </si>
  <si>
    <t>135</t>
  </si>
  <si>
    <t>18:08-18:21</t>
  </si>
  <si>
    <r>
      <rPr>
        <sz val="11"/>
        <color indexed="8"/>
        <rFont val="Aptos Narrow"/>
      </rPr>
      <t>U</t>
    </r>
    <r>
      <rPr>
        <sz val="11"/>
        <color indexed="8"/>
        <rFont val="Aptos Narrow"/>
      </rPr>
      <t>h, seeing if they would survive. Okay. Um, the boys have been there for years. No progress has seemingly been made. Are they any closer to getting out of the maze?</t>
    </r>
  </si>
  <si>
    <t>136</t>
  </si>
  <si>
    <t>18:21-18:22</t>
  </si>
  <si>
    <t>137</t>
  </si>
  <si>
    <t>18:22-18:54</t>
  </si>
  <si>
    <t>138</t>
  </si>
  <si>
    <t>18:54-18:55</t>
  </si>
  <si>
    <t>139</t>
  </si>
  <si>
    <t>18:55-18:57</t>
  </si>
  <si>
    <t>Why do you think that?</t>
  </si>
  <si>
    <t>140</t>
  </si>
  <si>
    <t>18:57-19:07</t>
  </si>
  <si>
    <t>141</t>
  </si>
  <si>
    <t>19:07-19:14</t>
  </si>
  <si>
    <t>So you think they're, they're ready. Ready for what?</t>
  </si>
  <si>
    <t>142</t>
  </si>
  <si>
    <t>19:14-19:20</t>
  </si>
  <si>
    <t>143</t>
  </si>
  <si>
    <t>19:20-19:26</t>
  </si>
  <si>
    <t>Okay. Um, Ryan, do you agree with Jessica? The gladers are ready?</t>
  </si>
  <si>
    <t>144</t>
  </si>
  <si>
    <t>19:26-19:28</t>
  </si>
  <si>
    <t>145</t>
  </si>
  <si>
    <t>19:28-19:32</t>
  </si>
  <si>
    <t>No? Why not, why do you think they’re not ready.</t>
  </si>
  <si>
    <t>146</t>
  </si>
  <si>
    <t>19:32-19:40</t>
  </si>
  <si>
    <t>They are not mature enough.</t>
  </si>
  <si>
    <t>147</t>
  </si>
  <si>
    <t>19:40-19:47</t>
  </si>
  <si>
    <t>Uh, they're not mature enough. Uh. What signs are there that they're immature?</t>
  </si>
  <si>
    <t>148</t>
  </si>
  <si>
    <t>19:47-19:51</t>
  </si>
  <si>
    <t>149</t>
  </si>
  <si>
    <t>19:51-21:20</t>
  </si>
  <si>
    <t>150</t>
  </si>
  <si>
    <t>21:20-21:22</t>
  </si>
  <si>
    <t>Cause chaos.</t>
  </si>
  <si>
    <t>151</t>
  </si>
  <si>
    <t>21:22-21:27</t>
  </si>
  <si>
    <t>Cause chaos. And why do you think cause chaos? What is that about those words?</t>
  </si>
  <si>
    <t>152</t>
  </si>
  <si>
    <t>21:27-21:32</t>
  </si>
  <si>
    <t>It is very, it's, it's bad.</t>
  </si>
  <si>
    <t>153</t>
  </si>
  <si>
    <t>21:32-21:57</t>
  </si>
  <si>
    <t>It's bad. Okay. Patricia, what do you think when you see those words? Bleed and death, what comes to mind? Um, or, or anyone else have any other ideas? Like you're raising your hand. How about other Ethan? The words bleed and death. What comes to mind for you?</t>
  </si>
  <si>
    <t>154</t>
  </si>
  <si>
    <t>21:57-21:59</t>
  </si>
  <si>
    <t>Just death, bleeding and death.</t>
  </si>
  <si>
    <t>155</t>
  </si>
  <si>
    <t>21:59-22:03</t>
  </si>
  <si>
    <t>All right. Why do you think the creators are using those words?</t>
  </si>
  <si>
    <t>156</t>
  </si>
  <si>
    <t>22:03-22:06</t>
  </si>
  <si>
    <t>Um, ‘cause those words are scary.</t>
  </si>
  <si>
    <t>157</t>
  </si>
  <si>
    <t>22:06-22:48</t>
  </si>
  <si>
    <t>158</t>
  </si>
  <si>
    <t>22:48-22:58</t>
  </si>
  <si>
    <t>They are the newcomers, so… (inaudible)</t>
  </si>
  <si>
    <t>159</t>
  </si>
  <si>
    <t>22:58-23:41</t>
  </si>
  <si>
    <t>Oh yeah. So again, you said maybe it's deliberate. They put them in expecting something to happen. They put the two of them in, shut everything off, turned everything down, and it just happened to be the two of them that figured out the solution. Uh, that does seem like it's more than just a coincidence. So the next steps, this is where we ended off with chapter 46. Thomas has just come up with the idea that he doesn't know enough. He needs to remember more. He will get stung by a griever and then undergo the changing, trying to unlock more memories. This is a good idea or bad idea?</t>
  </si>
  <si>
    <t>160</t>
  </si>
  <si>
    <t>23:41-23:44</t>
  </si>
  <si>
    <t>Uh, I don’t think it’s a good idea.</t>
  </si>
  <si>
    <t>161</t>
  </si>
  <si>
    <t>23:44-23:58</t>
  </si>
  <si>
    <t>162</t>
  </si>
  <si>
    <t>23:58-24:12</t>
  </si>
  <si>
    <t>Skylar</t>
  </si>
  <si>
    <t>163</t>
  </si>
  <si>
    <t>24:12-24:24</t>
  </si>
  <si>
    <t>Do you wanna get stung by a griever? No? Why not? So, why is it a bad idea?</t>
  </si>
  <si>
    <t>164</t>
  </si>
  <si>
    <t>24:24-24:32</t>
  </si>
  <si>
    <t>165</t>
  </si>
  <si>
    <t>24:32-24:47</t>
  </si>
  <si>
    <t>166</t>
  </si>
  <si>
    <t>24:47-24:49</t>
  </si>
  <si>
    <t>167</t>
  </si>
  <si>
    <t>24:49-25:29</t>
  </si>
  <si>
    <t>168</t>
  </si>
  <si>
    <t>25:29-25:30</t>
  </si>
  <si>
    <t>Desperate.</t>
  </si>
  <si>
    <t>169</t>
  </si>
  <si>
    <t>25:30-25:38</t>
  </si>
  <si>
    <t>170</t>
  </si>
  <si>
    <t>25:38-25:40</t>
  </si>
  <si>
    <t>Uh, both.</t>
  </si>
  <si>
    <t>171</t>
  </si>
  <si>
    <t>25:40-25:56</t>
  </si>
  <si>
    <t>Both. But you think he's more desperate than brave? All right. Anyone thinks he's more brave than desperate, but do you think he's brave? Why is he brave?</t>
  </si>
  <si>
    <t>172</t>
  </si>
  <si>
    <t>25:56-26:09</t>
  </si>
  <si>
    <t>Student 4</t>
  </si>
  <si>
    <t>173</t>
  </si>
  <si>
    <t>26:09-26:11</t>
  </si>
  <si>
    <t>Cause he has to be stuck and it might hurt.</t>
  </si>
  <si>
    <t>174</t>
  </si>
  <si>
    <t>26:11-26:19</t>
  </si>
  <si>
    <t>175</t>
  </si>
  <si>
    <t>26:19-33:35</t>
  </si>
  <si>
    <r>
      <rPr>
        <sz val="11"/>
        <color indexed="8"/>
        <rFont val="Aptos Narrow"/>
      </rPr>
      <t>Big risk, big reward. I like that. If it pays off, maybe they get out of the maze, right? And if it doesn't work, so it's not this problem anymore. Big risk, big reward. All right, good. So that's how we end chapter 46. Yes. Uh, not next week, but the week after. We'll probably talk about the maze runner again. I'll tell you which chapters to read up to. In the meantime, I've posted an activity on OneNote for you to do. It'll be a character analysis. You'll be creating a detailed description of an important character as we wade into the latter stages of the Maze Runner. You can choose which character, either Thomas, Alvey, Newt, Theresa, Minho, or Chuck. You need to pick one of these characters. There are two things you will do. The first thing is you need to think of which animal best represents this character. Think of which animal best represents this character. You will then draw the animal. Not use a picture from online, not use AI. You will draw the animal. And you have to give me two reasons why you think that animal represents the character. So as an example, I have done Galley. Um, a badger. I'll be honest, I did not draw it. I found it online. Yeah, I want to draw the picture. Do as I say, not as I do. But no, I pick the badger. Uh, if you're not familiar with badgers, we have them all over the US. They are known for being fiercely territorial and will attack anything they perceive as a threat. That's kind of what Galley did. Uh, Thomas came into his glade. Thomas messed with his community. So right away, he saw Thomas as a threat. He was very, not just aggressive towards Thomas, but I would say almost defensive. He saw somebody come in breaking up the status quo of the glade. He wasn't going to take that. So just as a badger is very defensive and territorial. So was Galley. Um, while badgers are aggressive, that aggression often stems from a cornered instinct. Um, with badgers, you do not corner them. If you find them in a borough, you back away. If they're cornered, they go crazy and lash out and do all sorts of very crazy things. That's kind of like what Galley did, rather than think logically of how Thomas could be an asset for help, how he could benefit the glade. Uh, when Thomas rises himself, Galley just kind of went crazy, lashed out and wasn't thinking straight. So because of those two actions, uh, I picked a badger. You'll pick a different character, think of what animal best defines them. There's no right or wrong answer for this. Uh, we will get to the due date in just a moment.</t>
    </r>
    <r>
      <rPr>
        <sz val="11"/>
        <color indexed="8"/>
        <rFont val="Aptos Narrow"/>
      </rPr>
      <t xml:space="preserve">  </t>
    </r>
    <r>
      <rPr>
        <sz val="11"/>
        <color indexed="8"/>
        <rFont val="Aptos Narrow"/>
      </rPr>
      <t>The second thing you have to do is an acrostic poem. Are you familiar with an across the poem? You take a name, you have it, you spell it going straight down, and you have a poem that begins with each letter of that name. With this, you'll be describing your character. Um, their behavior, their actions, their personality. Don't just describe what they look like. For example, going back to Galley, you can see how his name is spelled out, G-A-L-L-Y. And for the poem: Guarding the old rules with aggressive determination, Antagonizing Thomas because he fears the unknown. Loyal only to the safety of the walls he knows. Lashing out at anyone who threatens the glade status quo, yielding to his own fear, which he masked with anger and threats. So are you guys gonna do Galley? No, he's my example. You can do Thomas, Theresa, Alvey, Minho, Chuck, or Newt. Those are the characters you're picking from. The due date, as I mentioned last time, the more time I give you to complete work, the less likely you are to do it. So to ensure everyone actually completes it and turns it in, your due date will be Monday.</t>
    </r>
    <r>
      <rPr>
        <sz val="11"/>
        <color indexed="8"/>
        <rFont val="Aptos Narrow"/>
      </rPr>
      <t xml:space="preserve">  </t>
    </r>
    <r>
      <rPr>
        <sz val="11"/>
        <color indexed="8"/>
        <rFont val="Aptos Narrow"/>
      </rPr>
      <t>Uh, you can turn it in tomorrow if you want, but the due date's Monday. Monday.. Yes. It doesn't have to be a perfect drawing. The worksheet is already on OneNote. You've already been given the worksheet as well.</t>
    </r>
    <r>
      <rPr>
        <sz val="11"/>
        <color indexed="8"/>
        <rFont val="Aptos Narrow"/>
      </rPr>
      <t xml:space="preserve">  </t>
    </r>
    <r>
      <rPr>
        <sz val="11"/>
        <color indexed="8"/>
        <rFont val="Aptos Narrow"/>
      </rPr>
      <t>If you go to your folder for the Maze Runner, it'll be the chapter 33 through 45 worksheet. Again, here are the instructions and the example I gave you. Here's the space for your picture. Your two explanations. And then the next page is for you to make your acrostic poem. I, I'm not gonna rate your artistic skills.</t>
    </r>
    <r>
      <rPr>
        <sz val="11"/>
        <color indexed="8"/>
        <rFont val="Aptos Narrow"/>
      </rPr>
      <t xml:space="preserve">  </t>
    </r>
    <r>
      <rPr>
        <sz val="11"/>
        <color indexed="8"/>
        <rFont val="Aptos Narrow"/>
      </rPr>
      <t>So if your animal that you draw doesn't look as great as my badger, that's okay. I, I drew it with my heart.</t>
    </r>
    <r>
      <rPr>
        <sz val="11"/>
        <color indexed="8"/>
        <rFont val="Aptos Narrow"/>
      </rPr>
      <t xml:space="preserve">  </t>
    </r>
    <r>
      <rPr>
        <sz val="11"/>
        <color indexed="8"/>
        <rFont val="Aptos Narrow"/>
      </rPr>
      <t>So, but you're going to draw your animal, write the explanation, and then do your acrostic poem. Um, again, I'm not going to grade you on how great your poetry skills are. Essentially, you're just trying to be creative and describing the character you picked with each line starting with, um, a letter that begins with a first and saying. Um, your due date is Monday. Any questions? All right. I will send you reminders tomorrow and over the weekend. Um, but that is all for today's lesson. The bell should be ringing any moment.</t>
    </r>
  </si>
  <si>
    <t>APT moves</t>
    <phoneticPr fontId="3" type="noConversion"/>
  </si>
  <si>
    <t>Say more(T3)</t>
  </si>
  <si>
    <t>Revoice(T1)</t>
  </si>
  <si>
    <t>Press for reasoning(T2)</t>
  </si>
  <si>
    <t>Challenge(T4)</t>
  </si>
  <si>
    <t>Restate(1678976054)</t>
  </si>
  <si>
    <t>Agree/Disagree(1678976089)</t>
  </si>
  <si>
    <t>Add on(1678976097)</t>
  </si>
  <si>
    <t>Explain others(T5)</t>
  </si>
  <si>
    <t>word</t>
    <phoneticPr fontId="1" type="noConversion"/>
  </si>
  <si>
    <t>Timestamp</t>
    <phoneticPr fontId="3" type="noConversion"/>
  </si>
  <si>
    <t>00:00-00:17</t>
    <phoneticPr fontId="3" type="noConversion"/>
  </si>
  <si>
    <t>sum</t>
  </si>
  <si>
    <t>Teachers' total words</t>
  </si>
  <si>
    <t>Students' total words</t>
  </si>
  <si>
    <t>Total turns</t>
  </si>
  <si>
    <t>No. of teachers' turn</t>
  </si>
  <si>
    <t>No. of students' turn</t>
  </si>
  <si>
    <t>3690</t>
    <phoneticPr fontId="3" type="noConversion"/>
  </si>
  <si>
    <t>283</t>
    <phoneticPr fontId="3" type="noConversion"/>
  </si>
  <si>
    <t>175</t>
    <phoneticPr fontId="3" type="noConversion"/>
  </si>
  <si>
    <t>88</t>
    <phoneticPr fontId="3" type="noConversion"/>
  </si>
  <si>
    <t>87</t>
    <phoneticPr fontId="3" type="noConversion"/>
  </si>
  <si>
    <t>Okay, let's begin. Today we're going to recap the Maze Runner. It's been a while since we last talked about it, I think before Easter. Does everybody remember what's happening in the story?</t>
    <phoneticPr fontId="3" type="noConversion"/>
  </si>
  <si>
    <t>45. That's right. Before we discuss content, we'll review a little bit about what happened earlier. A question to the camera. Uh, so we have a gathering up. Can't see the questions. Let's see. Quick. All right, so looking at the tension between Gally and Ho, uh, why do you think a community like the Glade needs such strict rules, even when someone like Thomas clearly has talent? Why do they need rules, Jessica?</t>
    <phoneticPr fontId="3" type="noConversion"/>
  </si>
  <si>
    <t>Prevent chaos so they don't die. Yes, that's correct. Those be bad things, right? Yes. Uh, Minho suggests making Thomas a keeper after only a few days. Does it always work that way In real life? Where a newbie can jump straight to the top just by taking a big risk or having talent.</t>
    <phoneticPr fontId="3" type="noConversion"/>
  </si>
  <si>
    <r>
      <t xml:space="preserve">Yeah. </t>
    </r>
    <r>
      <rPr>
        <sz val="11"/>
        <color rgb="FF000000"/>
        <rFont val="Arial"/>
        <family val="2"/>
      </rPr>
      <t> </t>
    </r>
    <r>
      <rPr>
        <sz val="11"/>
        <color indexed="8"/>
        <rFont val="Aptos Narrow"/>
      </rPr>
      <t>Who agrees with that? It might just be luck. Anyone agree? Do you know the word about what you'd call it? If somebody gets promoted and does well just based off of their talent.</t>
    </r>
    <phoneticPr fontId="3" type="noConversion"/>
  </si>
  <si>
    <t>Not promotion, but a meritocracy, someone gets promoted based on the merits that they have. Here's an example. You want to have a band, you want to have someone play an instrument. You have two people. You have one person who plays a guitar. They've been practicing every day, three hours a day for the past several years, and you have another person who just started playing the guitar for one week. But that person who's only been playing for one week is much better than the one who's been practicing for three hours a day for the past years. Who are you gonna have in your band: the one who spent years practicing and working to get better, or the one who just started learning but already sounds really great? Who are you gonna have, Phillip?</t>
    <phoneticPr fontId="3" type="noConversion"/>
  </si>
  <si>
    <t>You pick the person that just started as well, so. A lot of you are saying that you pick the person that just started because they have more talent, they're automatically better. You wouldn't go with a person who has years and years of experience, so you would just ignore all of that experience and just pick the better person. Is that what you would do Jayden? You ignore all the experience and just pick the better person?</t>
    <phoneticPr fontId="3" type="noConversion"/>
  </si>
  <si>
    <t>Because he's better. Yeah. Okay, so this is the way how like meritocracy works. You go with a person who's better despite their experience, despite 13 years, despite how much effort they put into it. You're just interested in the results. Um, so let's continue on with the story. After the Gathering of Keepers, Galley has some confrontations. He's convinced that Thomas is the reason everything is falling apart. Uh, what might be driving Galley's anger other than just being a villain? In class you wrote a letter to Galley from Thomas's point of view, kind of asking  “What's up? What's going on?” Why does Galley have all this anger? How would you think Galley would respond? Ethan, how would you think Galley would respond to that?</t>
    <phoneticPr fontId="3" type="noConversion"/>
  </si>
  <si>
    <t>In general? He has to have a reason, right?</t>
    <phoneticPr fontId="3" type="noConversion"/>
  </si>
  <si>
    <t>Exactly. Galley's been in the glade for several years. He has years of experience. He knows what he's doing, right? He's led some of the other people. But now you have Thomas, this newbie, this greenie, who's only been the glade for what a few days. And he seems to be doing things that Galley's never done before, that none of the other keepers have done before. Do you think. How might that make Galley feel?</t>
    <phoneticPr fontId="3" type="noConversion"/>
  </si>
  <si>
    <t>Yeah. So many of you said something kind of similar. If you had a new person gonna join your band, you think the new person who's much better, who has the talent, versus somebody that's been here for years who's not really improving. That person is Galley. He's been in glade all this time. And now Thomas is the hot new person who's showing them how it's done. Right. Uh, so if you were one of the other glader swapping Halley runoff into the maze, uh, leaving the glade, why do you think you might actually feel a bit of sympathy for him in that moment? How would you feel, would you feel sympathy for galley? No, why not?</t>
    <phoneticPr fontId="3" type="noConversion"/>
  </si>
  <si>
    <t>Yeah. Okay. I can sympathize with that. Yes. You have Galley. He's been in glade for several, several years. He's kind of built it into what it is. He's taken a group of kids and they've gone from just surviving. They're now living there. You can almost say they're thriving. They have, um, good supply of food. They have resources. And all of a sudden somebody comes in overnight and almost turns that upside down. Yes, he may be running off, but he's kind of abandoning everything he's built up. Uh, I can sympathize with that. Maybe feel a little bit, you know, sad for him. So what happens after Galley leaves and MinHo begins training Thomas? Uh, now that Thomas is officially a runner and he has to follow and host strict pace and rules, why do you think Thomas is so willing to follow someone else's orders now when he was so quick to break the rules just a few days ago?</t>
    <phoneticPr fontId="3" type="noConversion"/>
  </si>
  <si>
    <t>He wanted to save someone's friend. So he breaks the rules to save people when he's acting out of maybe kindness, but when it is not an emergency, you think he's content to just follow the rules. Jessica?</t>
    <phoneticPr fontId="3" type="noConversion"/>
  </si>
  <si>
    <t>Good. Um, not everyone was as extreme as Galley, but some people share his thoughts and feelings. Thomas realizes that if he wants to kind of stay, he needs to kind of get some support, uh, not rock about too much. Does anything exciting happen that first day he becomes a runner? What do you think? Jovin, do you think anything,does anything exciting happen that first day?</t>
    <phoneticPr fontId="3" type="noConversion"/>
  </si>
  <si>
    <t>What did you think Jessica? Uh, he hears Theresa in his mind. She's saying that, uh, she has triggered the ending where it's all ending. Um, for two years, the gladers lived by the same. Everything has a purpose. Now that the sun disappeared, the sky went gray supplies haven't arrived and the doors won't shut. Is there still a purpose to their lives in the glade or perhaps experiment seemingly failed? What do you think, Ruby? Is there still a purpose?</t>
    <phoneticPr fontId="3" type="noConversion"/>
  </si>
  <si>
    <t>Not sure yet. That's fine. You don't have to have all the answers. The book hasn't given you all the answers yet. Um, so that night, as we briefly discussed, the doors remaining open, Andrew, what could that represent? The doors remaining open. Do the doors with the maze usually stay open at night?</t>
    <phoneticPr fontId="3" type="noConversion"/>
  </si>
  <si>
    <t>Grievers can come in during the night. Uh, perhaps it means the loss of control. So the doors used to shut, they used to have some sort of order in their society. Some sort of sense of what?</t>
    <phoneticPr fontId="3" type="noConversion"/>
  </si>
  <si>
    <t>Sense of safety. Uh, the moment the game becomes real and the safety net is gone. In the glade, they were safe. The grievers couldn't get in. Now the grievers can. Are they still safe? Are they still protected? So they have all these things happen at once. The sky became gray, the sun disappeared, the supply stopped being delivered, and the doors no longer closed close. Do you think it's a coincidence that all these things happen at once?</t>
    <phoneticPr fontId="3" type="noConversion"/>
  </si>
  <si>
    <t>So maybe the creators want to kind of poke them a little bit to see what happens. Gives them a bit of a, um, motivation to get out, right? Yeah. They can no longer simply just live in the glade they have to find a way out. So do you think it is aimed deliberate move to force the gladers out? Um, deliberate means with intent. So do you think they intentionally did all of this?</t>
    <phoneticPr fontId="3" type="noConversion"/>
  </si>
  <si>
    <t>Okay, good. So they still turning against themselves. Uh, so we have that night, the grievers attack. Uh, what sends the grievers away? Anyone know why? The grievers end up leaving, who causes the grievers to leave? No. I think maybe we're getting to the point where a lot of you haven't written up to. Galley comes back and he gets the grievers to leave. How does he get the grievers to leave? He what? He attracts him. Kinda, he basically sacrifices himself. He says the grievers are going to take one person every night until the boys are gone. And Galley kind of gives himself to the grievers to get them to leave. Yeah. Sacrifices himself. Well, meanwhile, Thomas, Theresa, they're working to crack the code with the maps to figure out what it all means. They discover that a lot of the sections of the maze, when they put together, they spell out words such as bleed and death. Who can take that idea and push it further? What kind of message are they creators trying to send with those specific words?</t>
    <phoneticPr fontId="3" type="noConversion"/>
  </si>
  <si>
    <t>Scary. So you think they're trying to scare the kids? Maybe Trying to get them ready for something. Get them ready for the end. Maybe trying to condition thinking this whole thing has been an experiment. An experiment for what? Think about it. Um, so moving on, some people might say, Theresa and Thomas solving the code is just a coincidence. Do you agree or disagree with that? The fact that it was Theresa and Thomas that solved it? Phillip, is that a coincidence? You don't think so? Why not?</t>
    <phoneticPr fontId="3" type="noConversion"/>
  </si>
  <si>
    <t>No. What do you think, Skylar? Is it a good idea or bad idea? So willingly get stung by a griver under changing. Why is it a bad idea?</t>
    <phoneticPr fontId="3" type="noConversion"/>
  </si>
  <si>
    <t>Does everyone who gets stung by a griver survive? Some said no. Uh, do they come through the ordeal unchanged?</t>
    <phoneticPr fontId="3" type="noConversion"/>
  </si>
  <si>
    <t>No, that's why they call it the changing. So he think it's a bad idea? Maybe because Thomas might not survive or he might be changed in the process. Kind of not in your head. Okay. Um. Yeah. There's no idea that will work. It's a good idea. Maybe it'll work, maybe it won't. Uh, if you were Newt or MinHo would you actually let Thomas do it? Is it a brave idea or do you think Thomas is just getting desperate, trying to find a solution? Gabriel? Is he brave or is he desperate?</t>
    <phoneticPr fontId="3" type="noConversion"/>
  </si>
  <si>
    <t>Desperate. It's there any sort of wiggle room between being brave and desperate? Do you have to be one or the other, or can he be both?</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</si>
</sst>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7" x14ac:knownFonts="1">
    <font>
      <sz val="11"/>
      <color indexed="8"/>
      <name val="Aptos Narrow"/>
    </font>
    <font>
      <sz val="9"/>
      <name val="FangSong"/>
      <family val="3"/>
      <charset val="134"/>
    </font>
    <font>
      <b/>
      <sz val="12"/>
      <color theme="1"/>
      <name val="Calibri"/>
      <family val="2"/>
    </font>
    <font>
      <sz val="9"/>
      <name val="Helvetica Neue"/>
      <family val="3"/>
      <charset val="134"/>
      <scheme val="minor"/>
    </font>
    <font>
      <sz val="12"/>
      <color indexed="8"/>
      <name val="Helvetica"/>
      <family val="2"/>
    </font>
    <font>
      <sz val="11"/>
      <color indexed="8"/>
      <name val="Helvetica"/>
      <family val="2"/>
    </font>
    <font>
      <sz val="11"/>
      <color rgb="FF000000"/>
      <name val="Arial"/>
      <family val="2"/>
    </font>
  </fonts>
  <fills count="2">
    <fill>
      <patternFill patternType="none"/>
    </fill>
    <fill>
      <patternFill patternType="gray125"/>
    </fill>
  </fills>
  <borders count="4">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style="thin">
        <color indexed="9"/>
      </left>
      <right style="thin">
        <color indexed="9"/>
      </right>
      <top/>
      <bottom/>
      <diagonal/>
    </border>
  </borders>
  <cellStyleXfs count="1">
    <xf numFmtId="0" fontId="0" fillId="0" borderId="0" applyNumberFormat="0" applyFill="0" applyBorder="0" applyProtection="0"/>
  </cellStyleXfs>
  <cellXfs count="14">
    <xf numFmtId="0" fontId="0" fillId="0" borderId="0" xfId="0"/>
    <xf numFmtId="0" fontId="0" fillId="0" borderId="0" xfId="0" applyNumberFormat="1"/>
    <xf numFmtId="49" fontId="0" fillId="0" borderId="1" xfId="0" applyNumberFormat="1" applyBorder="1"/>
    <xf numFmtId="49" fontId="0" fillId="0" borderId="1" xfId="0" applyNumberFormat="1" applyBorder="1" applyAlignment="1">
      <alignment horizontal="left" vertical="top" readingOrder="1"/>
    </xf>
    <xf numFmtId="0" fontId="2" fillId="0" borderId="0" xfId="0" applyFont="1" applyAlignment="1">
      <alignment vertical="center"/>
    </xf>
    <xf numFmtId="0" fontId="4" fillId="0" borderId="0" xfId="0" applyFont="1"/>
    <xf numFmtId="0" fontId="5" fillId="0" borderId="0" xfId="0" applyFont="1"/>
    <xf numFmtId="49" fontId="0" fillId="0" borderId="1" xfId="0" applyNumberFormat="1" applyBorder="1"/>
    <xf numFmtId="0" fontId="0" fillId="0" borderId="1" xfId="0" applyBorder="1"/>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0" xfId="0" applyFont="1" applyAlignment="1">
      <alignment horizontal="center" vertical="center"/>
    </xf>
    <xf numFmtId="176" fontId="0" fillId="0" borderId="1" xfId="0" applyNumberFormat="1" applyBorder="1" applyAlignment="1">
      <alignment horizontal="left" vertical="top" readingOrder="1"/>
    </xf>
    <xf numFmtId="0" fontId="0" fillId="0" borderId="1" xfId="0" applyNumberFormat="1" applyBorder="1" applyAlignment="1">
      <alignment horizontal="left" vertical="top" readingOrder="1"/>
    </xf>
  </cellXfs>
  <cellStyles count="1">
    <cellStyle name="常规"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905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94"/>
  <sheetViews>
    <sheetView showGridLines="0" tabSelected="1" topLeftCell="B1" zoomScale="208" workbookViewId="0">
      <pane ySplit="2" topLeftCell="A168" activePane="bottomLeft" state="frozen"/>
      <selection activeCell="B1" sqref="B1"/>
      <selection pane="bottomLeft" activeCell="G182" sqref="G182"/>
    </sheetView>
  </sheetViews>
  <sheetFormatPr baseColWidth="10" defaultColWidth="8.83203125" defaultRowHeight="14.5" customHeight="1" x14ac:dyDescent="0.2"/>
  <cols>
    <col min="1" max="1" width="8.83203125" style="1" customWidth="1"/>
    <col min="2" max="2" width="12.1640625" style="1" customWidth="1"/>
    <col min="3" max="5" width="8.83203125" style="1" customWidth="1"/>
    <col min="6" max="16384" width="8.83203125" style="1"/>
  </cols>
  <sheetData>
    <row r="1" spans="1:13" ht="13" customHeight="1" x14ac:dyDescent="0.2">
      <c r="A1" s="7" t="s">
        <v>0</v>
      </c>
      <c r="B1" s="9" t="s">
        <v>510</v>
      </c>
      <c r="C1" s="9" t="s">
        <v>1</v>
      </c>
      <c r="D1" s="9" t="s">
        <v>2</v>
      </c>
      <c r="E1" s="9" t="s">
        <v>509</v>
      </c>
      <c r="F1" s="11" t="s">
        <v>500</v>
      </c>
      <c r="G1" s="11"/>
      <c r="H1" s="11"/>
      <c r="I1" s="11"/>
      <c r="J1" s="11"/>
      <c r="K1" s="11"/>
      <c r="L1" s="11"/>
      <c r="M1" s="11"/>
    </row>
    <row r="2" spans="1:13" ht="14" customHeight="1" x14ac:dyDescent="0.2">
      <c r="A2" s="8"/>
      <c r="B2" s="10"/>
      <c r="C2" s="10"/>
      <c r="D2" s="10"/>
      <c r="E2" s="10"/>
      <c r="F2" s="4" t="s">
        <v>501</v>
      </c>
      <c r="G2" s="4" t="s">
        <v>502</v>
      </c>
      <c r="H2" s="4" t="s">
        <v>503</v>
      </c>
      <c r="I2" s="4" t="s">
        <v>504</v>
      </c>
      <c r="J2" s="4" t="s">
        <v>505</v>
      </c>
      <c r="K2" s="4" t="s">
        <v>506</v>
      </c>
      <c r="L2" s="4" t="s">
        <v>507</v>
      </c>
      <c r="M2" s="4" t="s">
        <v>508</v>
      </c>
    </row>
    <row r="3" spans="1:13" ht="15" x14ac:dyDescent="0.2">
      <c r="A3" s="2" t="s">
        <v>3</v>
      </c>
      <c r="B3" s="3" t="s">
        <v>511</v>
      </c>
      <c r="C3" s="3" t="s">
        <v>4</v>
      </c>
      <c r="D3" s="3" t="s">
        <v>523</v>
      </c>
      <c r="E3" s="3">
        <f>LEN(D3)-LEN(SUBSTITUTE(D3," ",""))+1</f>
        <v>33</v>
      </c>
      <c r="F3" s="12"/>
      <c r="G3" s="12"/>
      <c r="H3" s="12"/>
      <c r="I3" s="12"/>
      <c r="J3" s="12"/>
      <c r="K3" s="12"/>
      <c r="L3" s="12"/>
      <c r="M3" s="3"/>
    </row>
    <row r="4" spans="1:13" ht="16" customHeight="1" x14ac:dyDescent="0.2">
      <c r="A4" s="2" t="s">
        <v>5</v>
      </c>
      <c r="B4" s="3" t="s">
        <v>6</v>
      </c>
      <c r="C4" s="3" t="s">
        <v>7</v>
      </c>
      <c r="D4" s="3" t="s">
        <v>8</v>
      </c>
      <c r="E4" s="3">
        <f t="shared" ref="E4:E67" si="0">LEN(D4)-LEN(SUBSTITUTE(D4," ",""))+1</f>
        <v>1</v>
      </c>
      <c r="F4" s="13"/>
      <c r="G4" s="13"/>
      <c r="H4" s="13"/>
      <c r="I4" s="13"/>
      <c r="J4" s="13"/>
      <c r="K4" s="13"/>
      <c r="L4" s="13"/>
      <c r="M4" s="13"/>
    </row>
    <row r="5" spans="1:13" ht="16" customHeight="1" x14ac:dyDescent="0.2">
      <c r="A5" s="2" t="s">
        <v>9</v>
      </c>
      <c r="B5" s="3" t="s">
        <v>10</v>
      </c>
      <c r="C5" s="3" t="s">
        <v>4</v>
      </c>
      <c r="D5" s="3" t="s">
        <v>11</v>
      </c>
      <c r="E5" s="3">
        <f t="shared" si="0"/>
        <v>9</v>
      </c>
      <c r="F5" s="13"/>
      <c r="G5" s="13"/>
      <c r="H5" s="13"/>
      <c r="I5" s="13"/>
      <c r="J5" s="13"/>
      <c r="K5" s="13"/>
      <c r="L5" s="13"/>
      <c r="M5" s="13"/>
    </row>
    <row r="6" spans="1:13" ht="16" customHeight="1" x14ac:dyDescent="0.2">
      <c r="A6" s="2" t="s">
        <v>12</v>
      </c>
      <c r="B6" s="3" t="s">
        <v>13</v>
      </c>
      <c r="C6" s="3" t="s">
        <v>7</v>
      </c>
      <c r="D6" s="3" t="s">
        <v>14</v>
      </c>
      <c r="E6" s="3">
        <f t="shared" si="0"/>
        <v>1</v>
      </c>
      <c r="F6" s="13"/>
      <c r="G6" s="13"/>
      <c r="H6" s="13"/>
      <c r="I6" s="13"/>
      <c r="J6" s="13"/>
      <c r="K6" s="13"/>
      <c r="L6" s="13"/>
      <c r="M6" s="13"/>
    </row>
    <row r="7" spans="1:13" ht="16" customHeight="1" x14ac:dyDescent="0.2">
      <c r="A7" s="2" t="s">
        <v>15</v>
      </c>
      <c r="B7" s="3" t="s">
        <v>16</v>
      </c>
      <c r="C7" s="3" t="s">
        <v>4</v>
      </c>
      <c r="D7" s="3" t="s">
        <v>17</v>
      </c>
      <c r="E7" s="3">
        <f t="shared" si="0"/>
        <v>2</v>
      </c>
      <c r="F7" s="13"/>
      <c r="G7" s="13"/>
      <c r="H7" s="13"/>
      <c r="I7" s="13"/>
      <c r="J7" s="13"/>
      <c r="K7" s="13"/>
      <c r="L7" s="13">
        <v>1</v>
      </c>
      <c r="M7" s="13"/>
    </row>
    <row r="8" spans="1:13" ht="16" customHeight="1" x14ac:dyDescent="0.2">
      <c r="A8" s="2" t="s">
        <v>18</v>
      </c>
      <c r="B8" s="3" t="s">
        <v>19</v>
      </c>
      <c r="C8" s="3" t="s">
        <v>20</v>
      </c>
      <c r="D8" s="3" t="s">
        <v>21</v>
      </c>
      <c r="E8" s="3">
        <f t="shared" si="0"/>
        <v>1</v>
      </c>
      <c r="F8" s="13"/>
      <c r="G8" s="13"/>
      <c r="H8" s="13"/>
      <c r="I8" s="13"/>
      <c r="J8" s="13"/>
      <c r="K8" s="13"/>
      <c r="L8" s="13"/>
      <c r="M8" s="13"/>
    </row>
    <row r="9" spans="1:13" ht="16" customHeight="1" x14ac:dyDescent="0.2">
      <c r="A9" s="2" t="s">
        <v>22</v>
      </c>
      <c r="B9" s="3" t="s">
        <v>23</v>
      </c>
      <c r="C9" s="3" t="s">
        <v>4</v>
      </c>
      <c r="D9" s="3" t="s">
        <v>524</v>
      </c>
      <c r="E9" s="3">
        <f t="shared" si="0"/>
        <v>74</v>
      </c>
      <c r="F9" s="13"/>
      <c r="G9" s="13"/>
      <c r="H9" s="13"/>
      <c r="I9" s="13"/>
      <c r="J9" s="13"/>
      <c r="K9" s="13"/>
      <c r="L9" s="13"/>
      <c r="M9" s="13"/>
    </row>
    <row r="10" spans="1:13" ht="16" customHeight="1" x14ac:dyDescent="0.2">
      <c r="A10" s="2" t="s">
        <v>24</v>
      </c>
      <c r="B10" s="3" t="s">
        <v>25</v>
      </c>
      <c r="C10" s="3" t="s">
        <v>26</v>
      </c>
      <c r="D10" s="3" t="s">
        <v>27</v>
      </c>
      <c r="E10" s="3">
        <f t="shared" si="0"/>
        <v>3</v>
      </c>
      <c r="F10" s="13"/>
      <c r="G10" s="13"/>
      <c r="H10" s="13"/>
      <c r="I10" s="13"/>
      <c r="J10" s="13"/>
      <c r="K10" s="13"/>
      <c r="L10" s="13"/>
      <c r="M10" s="13"/>
    </row>
    <row r="11" spans="1:13" ht="16" customHeight="1" x14ac:dyDescent="0.2">
      <c r="A11" s="2" t="s">
        <v>28</v>
      </c>
      <c r="B11" s="3" t="s">
        <v>29</v>
      </c>
      <c r="C11" s="3" t="s">
        <v>4</v>
      </c>
      <c r="D11" s="3" t="s">
        <v>30</v>
      </c>
      <c r="E11" s="3">
        <f t="shared" si="0"/>
        <v>32</v>
      </c>
      <c r="F11" s="13"/>
      <c r="G11" s="13"/>
      <c r="H11" s="13"/>
      <c r="I11" s="13"/>
      <c r="J11" s="13"/>
      <c r="K11" s="13"/>
      <c r="L11" s="13"/>
      <c r="M11" s="13">
        <v>1</v>
      </c>
    </row>
    <row r="12" spans="1:13" ht="16" customHeight="1" x14ac:dyDescent="0.2">
      <c r="A12" s="2" t="s">
        <v>31</v>
      </c>
      <c r="B12" s="3" t="s">
        <v>32</v>
      </c>
      <c r="C12" s="3" t="s">
        <v>7</v>
      </c>
      <c r="D12" s="3" t="s">
        <v>33</v>
      </c>
      <c r="E12" s="3">
        <f t="shared" si="0"/>
        <v>4</v>
      </c>
      <c r="F12" s="13"/>
      <c r="G12" s="13"/>
      <c r="H12" s="13"/>
      <c r="I12" s="13"/>
      <c r="J12" s="13"/>
      <c r="K12" s="13"/>
      <c r="L12" s="13"/>
      <c r="M12" s="13"/>
    </row>
    <row r="13" spans="1:13" ht="16" customHeight="1" x14ac:dyDescent="0.2">
      <c r="A13" s="2" t="s">
        <v>34</v>
      </c>
      <c r="B13" s="3" t="s">
        <v>35</v>
      </c>
      <c r="C13" s="3" t="s">
        <v>4</v>
      </c>
      <c r="D13" s="3" t="s">
        <v>525</v>
      </c>
      <c r="E13" s="3">
        <f t="shared" si="0"/>
        <v>54</v>
      </c>
      <c r="F13" s="13"/>
      <c r="G13" s="13"/>
      <c r="H13" s="13"/>
      <c r="I13" s="13"/>
      <c r="J13" s="13"/>
      <c r="K13" s="13"/>
      <c r="L13" s="13"/>
      <c r="M13" s="13"/>
    </row>
    <row r="14" spans="1:13" ht="16" customHeight="1" x14ac:dyDescent="0.2">
      <c r="A14" s="2" t="s">
        <v>36</v>
      </c>
      <c r="B14" s="3" t="s">
        <v>37</v>
      </c>
      <c r="C14" s="3" t="s">
        <v>20</v>
      </c>
      <c r="D14" s="3" t="s">
        <v>38</v>
      </c>
      <c r="E14" s="3">
        <f t="shared" si="0"/>
        <v>4</v>
      </c>
      <c r="F14" s="13"/>
      <c r="G14" s="13"/>
      <c r="H14" s="13"/>
      <c r="I14" s="13"/>
      <c r="J14" s="13"/>
      <c r="K14" s="13"/>
      <c r="L14" s="13"/>
      <c r="M14" s="13"/>
    </row>
    <row r="15" spans="1:13" ht="16" customHeight="1" x14ac:dyDescent="0.2">
      <c r="A15" s="2" t="s">
        <v>39</v>
      </c>
      <c r="B15" s="3" t="s">
        <v>40</v>
      </c>
      <c r="C15" s="3" t="s">
        <v>4</v>
      </c>
      <c r="D15" s="3" t="s">
        <v>41</v>
      </c>
      <c r="E15" s="3">
        <f t="shared" si="0"/>
        <v>10</v>
      </c>
      <c r="F15" s="13"/>
      <c r="G15" s="13"/>
      <c r="H15" s="13">
        <v>1</v>
      </c>
      <c r="I15" s="13"/>
      <c r="J15" s="13"/>
      <c r="K15" s="13"/>
      <c r="L15" s="13"/>
      <c r="M15" s="13"/>
    </row>
    <row r="16" spans="1:13" ht="16" customHeight="1" x14ac:dyDescent="0.2">
      <c r="A16" s="2" t="s">
        <v>42</v>
      </c>
      <c r="B16" s="3" t="s">
        <v>43</v>
      </c>
      <c r="C16" s="3" t="s">
        <v>20</v>
      </c>
      <c r="D16" s="3" t="s">
        <v>44</v>
      </c>
      <c r="E16" s="3">
        <f t="shared" si="0"/>
        <v>9</v>
      </c>
      <c r="F16" s="13"/>
      <c r="G16" s="13"/>
      <c r="H16" s="13"/>
      <c r="I16" s="13"/>
      <c r="J16" s="13"/>
      <c r="K16" s="13"/>
      <c r="L16" s="13"/>
      <c r="M16" s="13"/>
    </row>
    <row r="17" spans="1:13" ht="16" customHeight="1" x14ac:dyDescent="0.2">
      <c r="A17" s="2" t="s">
        <v>45</v>
      </c>
      <c r="B17" s="3" t="s">
        <v>46</v>
      </c>
      <c r="C17" s="3" t="s">
        <v>4</v>
      </c>
      <c r="D17" s="3" t="s">
        <v>526</v>
      </c>
      <c r="E17" s="3">
        <f t="shared" si="0"/>
        <v>35</v>
      </c>
      <c r="F17" s="13"/>
      <c r="G17" s="13"/>
      <c r="H17" s="13"/>
      <c r="I17" s="13"/>
      <c r="J17" s="13"/>
      <c r="K17" s="13">
        <v>1</v>
      </c>
      <c r="L17" s="13"/>
      <c r="M17" s="13"/>
    </row>
    <row r="18" spans="1:13" ht="16" customHeight="1" x14ac:dyDescent="0.2">
      <c r="A18" s="2" t="s">
        <v>47</v>
      </c>
      <c r="B18" s="3" t="s">
        <v>48</v>
      </c>
      <c r="C18" s="3" t="s">
        <v>7</v>
      </c>
      <c r="D18" s="3" t="s">
        <v>49</v>
      </c>
      <c r="E18" s="3">
        <f t="shared" si="0"/>
        <v>1</v>
      </c>
      <c r="F18" s="13"/>
      <c r="G18" s="13"/>
      <c r="H18" s="13"/>
      <c r="I18" s="13"/>
      <c r="J18" s="13"/>
      <c r="K18" s="13"/>
      <c r="L18" s="13"/>
      <c r="M18" s="13"/>
    </row>
    <row r="19" spans="1:13" ht="16" customHeight="1" x14ac:dyDescent="0.2">
      <c r="A19" s="2" t="s">
        <v>50</v>
      </c>
      <c r="B19" s="3" t="s">
        <v>51</v>
      </c>
      <c r="C19" s="3" t="s">
        <v>4</v>
      </c>
      <c r="D19" s="3" t="s">
        <v>527</v>
      </c>
      <c r="E19" s="3">
        <f t="shared" si="0"/>
        <v>137</v>
      </c>
      <c r="F19" s="13"/>
      <c r="G19" s="13"/>
      <c r="H19" s="13"/>
      <c r="I19" s="13"/>
      <c r="J19" s="13"/>
      <c r="K19" s="13"/>
      <c r="L19" s="13"/>
      <c r="M19" s="13"/>
    </row>
    <row r="20" spans="1:13" ht="16" customHeight="1" x14ac:dyDescent="0.2">
      <c r="A20" s="2" t="s">
        <v>52</v>
      </c>
      <c r="B20" s="3" t="s">
        <v>53</v>
      </c>
      <c r="C20" s="3" t="s">
        <v>54</v>
      </c>
      <c r="D20" s="3" t="s">
        <v>55</v>
      </c>
      <c r="E20" s="3">
        <f t="shared" si="0"/>
        <v>1</v>
      </c>
      <c r="F20" s="13"/>
      <c r="G20" s="13"/>
      <c r="H20" s="13"/>
      <c r="I20" s="13"/>
      <c r="J20" s="13"/>
      <c r="K20" s="13"/>
      <c r="L20" s="13"/>
      <c r="M20" s="13"/>
    </row>
    <row r="21" spans="1:13" ht="16" customHeight="1" x14ac:dyDescent="0.2">
      <c r="A21" s="2" t="s">
        <v>56</v>
      </c>
      <c r="B21" s="3" t="s">
        <v>57</v>
      </c>
      <c r="C21" s="3" t="s">
        <v>4</v>
      </c>
      <c r="D21" s="3" t="s">
        <v>58</v>
      </c>
      <c r="E21" s="3">
        <f t="shared" si="0"/>
        <v>14</v>
      </c>
      <c r="F21" s="13"/>
      <c r="G21" s="13"/>
      <c r="H21" s="13"/>
      <c r="I21" s="13"/>
      <c r="J21" s="13"/>
      <c r="K21" s="13"/>
      <c r="L21" s="13"/>
      <c r="M21" s="13"/>
    </row>
    <row r="22" spans="1:13" ht="16" customHeight="1" x14ac:dyDescent="0.2">
      <c r="A22" s="2" t="s">
        <v>59</v>
      </c>
      <c r="B22" s="3" t="s">
        <v>60</v>
      </c>
      <c r="C22" s="3" t="s">
        <v>54</v>
      </c>
      <c r="D22" s="3" t="s">
        <v>61</v>
      </c>
      <c r="E22" s="3">
        <f t="shared" si="0"/>
        <v>5</v>
      </c>
      <c r="F22" s="13"/>
      <c r="G22" s="13"/>
      <c r="H22" s="13"/>
      <c r="I22" s="13"/>
      <c r="J22" s="13"/>
      <c r="K22" s="13"/>
      <c r="L22" s="13"/>
      <c r="M22" s="13"/>
    </row>
    <row r="23" spans="1:13" ht="16" customHeight="1" x14ac:dyDescent="0.2">
      <c r="A23" s="2" t="s">
        <v>62</v>
      </c>
      <c r="B23" s="3" t="s">
        <v>63</v>
      </c>
      <c r="C23" s="3" t="s">
        <v>4</v>
      </c>
      <c r="D23" s="3" t="s">
        <v>64</v>
      </c>
      <c r="E23" s="3">
        <f t="shared" si="0"/>
        <v>5</v>
      </c>
      <c r="F23" s="13"/>
      <c r="G23" s="13">
        <v>1</v>
      </c>
      <c r="H23" s="13"/>
      <c r="I23" s="13"/>
      <c r="J23" s="13"/>
      <c r="K23" s="13"/>
      <c r="L23" s="13"/>
      <c r="M23" s="13"/>
    </row>
    <row r="24" spans="1:13" ht="16" customHeight="1" x14ac:dyDescent="0.2">
      <c r="A24" s="2" t="s">
        <v>65</v>
      </c>
      <c r="B24" s="3" t="s">
        <v>66</v>
      </c>
      <c r="C24" s="3" t="s">
        <v>54</v>
      </c>
      <c r="D24" s="3" t="s">
        <v>67</v>
      </c>
      <c r="E24" s="3">
        <f t="shared" si="0"/>
        <v>1</v>
      </c>
      <c r="F24" s="13"/>
      <c r="G24" s="13"/>
      <c r="H24" s="13"/>
      <c r="I24" s="13"/>
      <c r="J24" s="13"/>
      <c r="K24" s="13"/>
      <c r="L24" s="13"/>
      <c r="M24" s="13"/>
    </row>
    <row r="25" spans="1:13" ht="16" customHeight="1" x14ac:dyDescent="0.2">
      <c r="A25" s="2" t="s">
        <v>68</v>
      </c>
      <c r="B25" s="3" t="s">
        <v>69</v>
      </c>
      <c r="C25" s="3" t="s">
        <v>4</v>
      </c>
      <c r="D25" s="3" t="s">
        <v>70</v>
      </c>
      <c r="E25" s="3">
        <f t="shared" si="0"/>
        <v>3</v>
      </c>
      <c r="F25" s="13"/>
      <c r="G25" s="13"/>
      <c r="H25" s="13">
        <v>1</v>
      </c>
      <c r="I25" s="13"/>
      <c r="J25" s="13"/>
      <c r="K25" s="13"/>
      <c r="L25" s="13"/>
      <c r="M25" s="13"/>
    </row>
    <row r="26" spans="1:13" ht="16" customHeight="1" x14ac:dyDescent="0.2">
      <c r="A26" s="2" t="s">
        <v>71</v>
      </c>
      <c r="B26" s="3" t="s">
        <v>72</v>
      </c>
      <c r="C26" s="3" t="s">
        <v>54</v>
      </c>
      <c r="D26" s="3" t="s">
        <v>73</v>
      </c>
      <c r="E26" s="3">
        <f t="shared" si="0"/>
        <v>5</v>
      </c>
      <c r="F26" s="13"/>
      <c r="G26" s="13"/>
      <c r="H26" s="13"/>
      <c r="I26" s="13"/>
      <c r="J26" s="13"/>
      <c r="K26" s="13"/>
      <c r="L26" s="13"/>
      <c r="M26" s="13"/>
    </row>
    <row r="27" spans="1:13" ht="16" customHeight="1" x14ac:dyDescent="0.2">
      <c r="A27" s="2" t="s">
        <v>74</v>
      </c>
      <c r="B27" s="3" t="s">
        <v>75</v>
      </c>
      <c r="C27" s="3" t="s">
        <v>4</v>
      </c>
      <c r="D27" s="3" t="s">
        <v>76</v>
      </c>
      <c r="E27" s="3">
        <f t="shared" si="0"/>
        <v>9</v>
      </c>
      <c r="F27" s="13"/>
      <c r="G27" s="13"/>
      <c r="H27" s="13"/>
      <c r="I27" s="13"/>
      <c r="J27" s="13"/>
      <c r="K27" s="13">
        <v>1</v>
      </c>
      <c r="L27" s="13"/>
      <c r="M27" s="13"/>
    </row>
    <row r="28" spans="1:13" ht="16" customHeight="1" x14ac:dyDescent="0.2">
      <c r="A28" s="2" t="s">
        <v>77</v>
      </c>
      <c r="B28" s="3" t="s">
        <v>78</v>
      </c>
      <c r="C28" s="3" t="s">
        <v>79</v>
      </c>
      <c r="D28" s="3" t="s">
        <v>80</v>
      </c>
      <c r="E28" s="3">
        <f t="shared" si="0"/>
        <v>2</v>
      </c>
      <c r="F28" s="13"/>
      <c r="G28" s="13"/>
      <c r="H28" s="13"/>
      <c r="I28" s="13"/>
      <c r="J28" s="13"/>
      <c r="K28" s="13"/>
      <c r="L28" s="13"/>
      <c r="M28" s="13"/>
    </row>
    <row r="29" spans="1:13" ht="16" customHeight="1" x14ac:dyDescent="0.2">
      <c r="A29" s="2" t="s">
        <v>81</v>
      </c>
      <c r="B29" s="3" t="s">
        <v>82</v>
      </c>
      <c r="C29" s="3" t="s">
        <v>4</v>
      </c>
      <c r="D29" s="3" t="s">
        <v>83</v>
      </c>
      <c r="E29" s="3">
        <f t="shared" si="0"/>
        <v>6</v>
      </c>
      <c r="F29" s="13"/>
      <c r="G29" s="13"/>
      <c r="H29" s="13">
        <v>1</v>
      </c>
      <c r="I29" s="13"/>
      <c r="J29" s="13"/>
      <c r="K29" s="13"/>
      <c r="L29" s="13"/>
      <c r="M29" s="13"/>
    </row>
    <row r="30" spans="1:13" ht="16" customHeight="1" x14ac:dyDescent="0.2">
      <c r="A30" s="2" t="s">
        <v>84</v>
      </c>
      <c r="B30" s="3" t="s">
        <v>85</v>
      </c>
      <c r="C30" s="3" t="s">
        <v>79</v>
      </c>
      <c r="D30" s="3" t="s">
        <v>86</v>
      </c>
      <c r="E30" s="3">
        <f t="shared" si="0"/>
        <v>4</v>
      </c>
      <c r="F30" s="13"/>
      <c r="G30" s="13"/>
      <c r="H30" s="13"/>
      <c r="I30" s="13"/>
      <c r="J30" s="13"/>
      <c r="K30" s="13"/>
      <c r="L30" s="13"/>
      <c r="M30" s="13"/>
    </row>
    <row r="31" spans="1:13" ht="16" customHeight="1" x14ac:dyDescent="0.2">
      <c r="A31" s="2" t="s">
        <v>87</v>
      </c>
      <c r="B31" s="3" t="s">
        <v>88</v>
      </c>
      <c r="C31" s="3" t="s">
        <v>4</v>
      </c>
      <c r="D31" s="3" t="s">
        <v>89</v>
      </c>
      <c r="E31" s="3">
        <f t="shared" si="0"/>
        <v>36</v>
      </c>
      <c r="F31" s="13"/>
      <c r="G31" s="13"/>
      <c r="H31" s="13"/>
      <c r="I31" s="13"/>
      <c r="J31" s="13"/>
      <c r="K31" s="13"/>
      <c r="L31" s="13"/>
      <c r="M31" s="13"/>
    </row>
    <row r="32" spans="1:13" ht="16" customHeight="1" x14ac:dyDescent="0.2">
      <c r="A32" s="2" t="s">
        <v>90</v>
      </c>
      <c r="B32" s="3" t="s">
        <v>91</v>
      </c>
      <c r="C32" s="3" t="s">
        <v>79</v>
      </c>
      <c r="D32" s="3" t="s">
        <v>92</v>
      </c>
      <c r="E32" s="3">
        <f t="shared" si="0"/>
        <v>1</v>
      </c>
      <c r="F32" s="13"/>
      <c r="G32" s="13"/>
      <c r="H32" s="13"/>
      <c r="I32" s="13"/>
      <c r="J32" s="13"/>
      <c r="K32" s="13"/>
      <c r="L32" s="13"/>
      <c r="M32" s="13"/>
    </row>
    <row r="33" spans="1:13" ht="16" customHeight="1" x14ac:dyDescent="0.2">
      <c r="A33" s="2" t="s">
        <v>93</v>
      </c>
      <c r="B33" s="3" t="s">
        <v>94</v>
      </c>
      <c r="C33" s="3" t="s">
        <v>4</v>
      </c>
      <c r="D33" s="3" t="s">
        <v>95</v>
      </c>
      <c r="E33" s="3">
        <f t="shared" si="0"/>
        <v>39</v>
      </c>
      <c r="F33" s="13"/>
      <c r="G33" s="13"/>
      <c r="H33" s="13"/>
      <c r="I33" s="13"/>
      <c r="J33" s="13"/>
      <c r="K33" s="13">
        <v>1</v>
      </c>
      <c r="L33" s="13"/>
      <c r="M33" s="13"/>
    </row>
    <row r="34" spans="1:13" ht="16" customHeight="1" x14ac:dyDescent="0.2">
      <c r="A34" s="2" t="s">
        <v>96</v>
      </c>
      <c r="B34" s="3" t="s">
        <v>97</v>
      </c>
      <c r="C34" s="3" t="s">
        <v>98</v>
      </c>
      <c r="D34" s="3" t="s">
        <v>92</v>
      </c>
      <c r="E34" s="3">
        <f t="shared" si="0"/>
        <v>1</v>
      </c>
      <c r="F34" s="13"/>
      <c r="G34" s="13"/>
      <c r="H34" s="13"/>
      <c r="I34" s="13"/>
      <c r="J34" s="13"/>
      <c r="K34" s="13"/>
      <c r="L34" s="13"/>
      <c r="M34" s="13"/>
    </row>
    <row r="35" spans="1:13" ht="16" customHeight="1" x14ac:dyDescent="0.2">
      <c r="A35" s="2" t="s">
        <v>99</v>
      </c>
      <c r="B35" s="3" t="s">
        <v>100</v>
      </c>
      <c r="C35" s="3" t="s">
        <v>4</v>
      </c>
      <c r="D35" s="3" t="s">
        <v>101</v>
      </c>
      <c r="E35" s="3">
        <f t="shared" si="0"/>
        <v>2</v>
      </c>
      <c r="F35" s="13"/>
      <c r="G35" s="13"/>
      <c r="H35" s="13"/>
      <c r="I35" s="13"/>
      <c r="J35" s="13"/>
      <c r="K35" s="13"/>
      <c r="L35" s="13"/>
      <c r="M35" s="13"/>
    </row>
    <row r="36" spans="1:13" ht="16" customHeight="1" x14ac:dyDescent="0.2">
      <c r="A36" s="2" t="s">
        <v>102</v>
      </c>
      <c r="B36" s="3" t="s">
        <v>103</v>
      </c>
      <c r="C36" s="3" t="s">
        <v>98</v>
      </c>
      <c r="D36" s="3" t="s">
        <v>92</v>
      </c>
      <c r="E36" s="3">
        <f t="shared" si="0"/>
        <v>1</v>
      </c>
      <c r="F36" s="13"/>
      <c r="G36" s="13"/>
      <c r="H36" s="13"/>
      <c r="I36" s="13"/>
      <c r="J36" s="13"/>
      <c r="K36" s="13"/>
      <c r="L36" s="13"/>
      <c r="M36" s="13"/>
    </row>
    <row r="37" spans="1:13" ht="16" customHeight="1" x14ac:dyDescent="0.2">
      <c r="A37" s="2" t="s">
        <v>104</v>
      </c>
      <c r="B37" s="3" t="s">
        <v>105</v>
      </c>
      <c r="C37" s="3" t="s">
        <v>4</v>
      </c>
      <c r="D37" s="3" t="s">
        <v>528</v>
      </c>
      <c r="E37" s="3">
        <f t="shared" si="0"/>
        <v>78</v>
      </c>
      <c r="F37" s="13"/>
      <c r="G37" s="13"/>
      <c r="H37" s="13"/>
      <c r="I37" s="13"/>
      <c r="J37" s="13"/>
      <c r="K37" s="13"/>
      <c r="L37" s="13"/>
      <c r="M37" s="13"/>
    </row>
    <row r="38" spans="1:13" ht="16" customHeight="1" x14ac:dyDescent="0.2">
      <c r="A38" s="2" t="s">
        <v>106</v>
      </c>
      <c r="B38" s="3" t="s">
        <v>107</v>
      </c>
      <c r="C38" s="3" t="s">
        <v>108</v>
      </c>
      <c r="D38" s="3" t="s">
        <v>8</v>
      </c>
      <c r="E38" s="3">
        <f t="shared" si="0"/>
        <v>1</v>
      </c>
      <c r="F38" s="13"/>
      <c r="G38" s="13"/>
      <c r="H38" s="13"/>
      <c r="I38" s="13"/>
      <c r="J38" s="13"/>
      <c r="K38" s="13"/>
      <c r="L38" s="13"/>
      <c r="M38" s="13"/>
    </row>
    <row r="39" spans="1:13" ht="16" customHeight="1" x14ac:dyDescent="0.2">
      <c r="A39" s="2" t="s">
        <v>109</v>
      </c>
      <c r="B39" s="3" t="s">
        <v>110</v>
      </c>
      <c r="C39" s="3" t="s">
        <v>4</v>
      </c>
      <c r="D39" s="3" t="s">
        <v>111</v>
      </c>
      <c r="E39" s="3">
        <f t="shared" si="0"/>
        <v>4</v>
      </c>
      <c r="F39" s="13"/>
      <c r="G39" s="13"/>
      <c r="H39" s="13">
        <v>1</v>
      </c>
      <c r="I39" s="13"/>
      <c r="J39" s="13"/>
      <c r="K39" s="13"/>
      <c r="L39" s="13"/>
      <c r="M39" s="13"/>
    </row>
    <row r="40" spans="1:13" ht="16" customHeight="1" x14ac:dyDescent="0.2">
      <c r="A40" s="2" t="s">
        <v>112</v>
      </c>
      <c r="B40" s="3" t="s">
        <v>113</v>
      </c>
      <c r="C40" s="3" t="s">
        <v>108</v>
      </c>
      <c r="D40" s="3" t="s">
        <v>114</v>
      </c>
      <c r="E40" s="3">
        <f t="shared" si="0"/>
        <v>4</v>
      </c>
      <c r="F40" s="13"/>
      <c r="G40" s="13"/>
      <c r="H40" s="13"/>
      <c r="I40" s="13"/>
      <c r="J40" s="13"/>
      <c r="K40" s="13"/>
      <c r="L40" s="13"/>
      <c r="M40" s="13"/>
    </row>
    <row r="41" spans="1:13" ht="16" customHeight="1" x14ac:dyDescent="0.2">
      <c r="A41" s="2" t="s">
        <v>115</v>
      </c>
      <c r="B41" s="3" t="s">
        <v>116</v>
      </c>
      <c r="C41" s="3" t="s">
        <v>4</v>
      </c>
      <c r="D41" s="3" t="s">
        <v>529</v>
      </c>
      <c r="E41" s="3">
        <f t="shared" si="0"/>
        <v>127</v>
      </c>
      <c r="F41" s="13"/>
      <c r="G41" s="13"/>
      <c r="H41" s="13"/>
      <c r="I41" s="13"/>
      <c r="J41" s="13"/>
      <c r="K41" s="13"/>
      <c r="L41" s="13"/>
      <c r="M41" s="13"/>
    </row>
    <row r="42" spans="1:13" ht="16" customHeight="1" x14ac:dyDescent="0.2">
      <c r="A42" s="2" t="s">
        <v>117</v>
      </c>
      <c r="B42" s="3" t="s">
        <v>118</v>
      </c>
      <c r="C42" s="3" t="s">
        <v>119</v>
      </c>
      <c r="D42" s="3" t="s">
        <v>120</v>
      </c>
      <c r="E42" s="3">
        <f t="shared" si="0"/>
        <v>7</v>
      </c>
      <c r="F42" s="13"/>
      <c r="G42" s="13"/>
      <c r="H42" s="13"/>
      <c r="I42" s="13"/>
      <c r="J42" s="13"/>
      <c r="K42" s="13"/>
      <c r="L42" s="13"/>
      <c r="M42" s="13"/>
    </row>
    <row r="43" spans="1:13" ht="16" customHeight="1" x14ac:dyDescent="0.2">
      <c r="A43" s="2" t="s">
        <v>121</v>
      </c>
      <c r="B43" s="3" t="s">
        <v>122</v>
      </c>
      <c r="C43" s="3" t="s">
        <v>4</v>
      </c>
      <c r="D43" s="3" t="s">
        <v>123</v>
      </c>
      <c r="E43" s="3">
        <f t="shared" si="0"/>
        <v>8</v>
      </c>
      <c r="F43" s="13"/>
      <c r="G43" s="13"/>
      <c r="H43" s="13">
        <v>1</v>
      </c>
      <c r="I43" s="13"/>
      <c r="J43" s="13"/>
      <c r="K43" s="13"/>
      <c r="L43" s="13"/>
      <c r="M43" s="13"/>
    </row>
    <row r="44" spans="1:13" ht="16" customHeight="1" x14ac:dyDescent="0.2">
      <c r="A44" s="2" t="s">
        <v>124</v>
      </c>
      <c r="B44" s="3" t="s">
        <v>125</v>
      </c>
      <c r="C44" s="3" t="s">
        <v>119</v>
      </c>
      <c r="D44" s="3" t="s">
        <v>126</v>
      </c>
      <c r="E44" s="3">
        <f t="shared" si="0"/>
        <v>9</v>
      </c>
      <c r="F44" s="13"/>
      <c r="G44" s="13"/>
      <c r="H44" s="13"/>
      <c r="I44" s="13"/>
      <c r="J44" s="13"/>
      <c r="K44" s="13"/>
      <c r="L44" s="13"/>
      <c r="M44" s="13"/>
    </row>
    <row r="45" spans="1:13" ht="16" customHeight="1" x14ac:dyDescent="0.2">
      <c r="A45" s="2" t="s">
        <v>127</v>
      </c>
      <c r="B45" s="3" t="s">
        <v>128</v>
      </c>
      <c r="C45" s="3" t="s">
        <v>4</v>
      </c>
      <c r="D45" s="3" t="s">
        <v>530</v>
      </c>
      <c r="E45" s="3">
        <f t="shared" si="0"/>
        <v>9</v>
      </c>
      <c r="F45" s="13">
        <v>1</v>
      </c>
      <c r="G45" s="13"/>
      <c r="H45" s="13"/>
      <c r="I45" s="13"/>
      <c r="J45" s="13"/>
      <c r="K45" s="13"/>
      <c r="L45" s="13"/>
      <c r="M45" s="13"/>
    </row>
    <row r="46" spans="1:13" ht="16" customHeight="1" x14ac:dyDescent="0.2">
      <c r="A46" s="2" t="s">
        <v>129</v>
      </c>
      <c r="B46" s="3" t="s">
        <v>130</v>
      </c>
      <c r="C46" s="3" t="s">
        <v>119</v>
      </c>
      <c r="D46" s="3" t="s">
        <v>131</v>
      </c>
      <c r="E46" s="3">
        <f t="shared" si="0"/>
        <v>6</v>
      </c>
      <c r="F46" s="13"/>
      <c r="G46" s="13"/>
      <c r="H46" s="13"/>
      <c r="I46" s="13"/>
      <c r="J46" s="13"/>
      <c r="K46" s="13"/>
      <c r="L46" s="13"/>
      <c r="M46" s="13"/>
    </row>
    <row r="47" spans="1:13" ht="16" customHeight="1" x14ac:dyDescent="0.2">
      <c r="A47" s="2" t="s">
        <v>132</v>
      </c>
      <c r="B47" s="3" t="s">
        <v>133</v>
      </c>
      <c r="C47" s="3" t="s">
        <v>4</v>
      </c>
      <c r="D47" s="3" t="s">
        <v>134</v>
      </c>
      <c r="E47" s="3">
        <f t="shared" si="0"/>
        <v>17</v>
      </c>
      <c r="F47" s="13"/>
      <c r="G47" s="13"/>
      <c r="H47" s="13"/>
      <c r="I47" s="13"/>
      <c r="J47" s="13"/>
      <c r="K47" s="13">
        <v>1</v>
      </c>
      <c r="L47" s="13"/>
      <c r="M47" s="13"/>
    </row>
    <row r="48" spans="1:13" ht="16" customHeight="1" x14ac:dyDescent="0.2">
      <c r="A48" s="2" t="s">
        <v>135</v>
      </c>
      <c r="B48" s="3" t="s">
        <v>136</v>
      </c>
      <c r="C48" s="3" t="s">
        <v>137</v>
      </c>
      <c r="D48" s="3" t="s">
        <v>138</v>
      </c>
      <c r="E48" s="3">
        <f t="shared" si="0"/>
        <v>3</v>
      </c>
      <c r="F48" s="13"/>
      <c r="G48" s="13"/>
      <c r="H48" s="13"/>
      <c r="I48" s="13"/>
      <c r="J48" s="13"/>
      <c r="K48" s="13"/>
      <c r="L48" s="13"/>
      <c r="M48" s="13"/>
    </row>
    <row r="49" spans="1:13" ht="16" customHeight="1" x14ac:dyDescent="0.2">
      <c r="A49" s="2" t="s">
        <v>139</v>
      </c>
      <c r="B49" s="3" t="s">
        <v>140</v>
      </c>
      <c r="C49" s="3" t="s">
        <v>4</v>
      </c>
      <c r="D49" s="3" t="s">
        <v>141</v>
      </c>
      <c r="E49" s="3">
        <f t="shared" si="0"/>
        <v>4</v>
      </c>
      <c r="F49" s="13"/>
      <c r="G49" s="13"/>
      <c r="H49" s="13"/>
      <c r="I49" s="13"/>
      <c r="J49" s="13"/>
      <c r="K49" s="13">
        <v>1</v>
      </c>
      <c r="L49" s="13"/>
      <c r="M49" s="13"/>
    </row>
    <row r="50" spans="1:13" ht="16" customHeight="1" x14ac:dyDescent="0.2">
      <c r="A50" s="2" t="s">
        <v>142</v>
      </c>
      <c r="B50" s="3" t="s">
        <v>143</v>
      </c>
      <c r="C50" s="3" t="s">
        <v>144</v>
      </c>
      <c r="D50" s="3" t="s">
        <v>92</v>
      </c>
      <c r="E50" s="3">
        <f t="shared" si="0"/>
        <v>1</v>
      </c>
      <c r="F50" s="13"/>
      <c r="G50" s="13"/>
      <c r="H50" s="13"/>
      <c r="I50" s="13"/>
      <c r="J50" s="13"/>
      <c r="K50" s="13"/>
      <c r="L50" s="13"/>
      <c r="M50" s="13"/>
    </row>
    <row r="51" spans="1:13" ht="16" customHeight="1" x14ac:dyDescent="0.2">
      <c r="A51" s="2" t="s">
        <v>145</v>
      </c>
      <c r="B51" s="3" t="s">
        <v>146</v>
      </c>
      <c r="C51" s="3" t="s">
        <v>4</v>
      </c>
      <c r="D51" s="3" t="s">
        <v>531</v>
      </c>
      <c r="E51" s="3">
        <f t="shared" si="0"/>
        <v>76</v>
      </c>
      <c r="F51" s="13"/>
      <c r="G51" s="13"/>
      <c r="H51" s="13"/>
      <c r="I51" s="13"/>
      <c r="J51" s="13"/>
      <c r="K51" s="13"/>
      <c r="L51" s="13"/>
      <c r="M51" s="13"/>
    </row>
    <row r="52" spans="1:13" ht="16" customHeight="1" x14ac:dyDescent="0.2">
      <c r="A52" s="2" t="s">
        <v>147</v>
      </c>
      <c r="B52" s="3" t="s">
        <v>148</v>
      </c>
      <c r="C52" s="3" t="s">
        <v>7</v>
      </c>
      <c r="D52" s="3" t="s">
        <v>149</v>
      </c>
      <c r="E52" s="3">
        <f t="shared" si="0"/>
        <v>1</v>
      </c>
      <c r="F52" s="13"/>
      <c r="G52" s="13"/>
      <c r="H52" s="13"/>
      <c r="I52" s="13"/>
      <c r="J52" s="13"/>
      <c r="K52" s="13"/>
      <c r="L52" s="13"/>
      <c r="M52" s="13"/>
    </row>
    <row r="53" spans="1:13" ht="16" customHeight="1" x14ac:dyDescent="0.2">
      <c r="A53" s="2" t="s">
        <v>150</v>
      </c>
      <c r="B53" s="3" t="s">
        <v>151</v>
      </c>
      <c r="C53" s="3" t="s">
        <v>4</v>
      </c>
      <c r="D53" s="3" t="s">
        <v>152</v>
      </c>
      <c r="E53" s="3">
        <f t="shared" si="0"/>
        <v>4</v>
      </c>
      <c r="F53" s="13">
        <v>1</v>
      </c>
      <c r="G53" s="13"/>
      <c r="H53" s="13"/>
      <c r="I53" s="13"/>
      <c r="J53" s="13"/>
      <c r="K53" s="13"/>
      <c r="L53" s="13"/>
      <c r="M53" s="13"/>
    </row>
    <row r="54" spans="1:13" ht="16" customHeight="1" x14ac:dyDescent="0.2">
      <c r="A54" s="2" t="s">
        <v>153</v>
      </c>
      <c r="B54" s="3" t="s">
        <v>154</v>
      </c>
      <c r="C54" s="3" t="s">
        <v>7</v>
      </c>
      <c r="D54" s="3" t="s">
        <v>155</v>
      </c>
      <c r="E54" s="3">
        <f t="shared" si="0"/>
        <v>2</v>
      </c>
      <c r="F54" s="13"/>
      <c r="G54" s="13"/>
      <c r="H54" s="13"/>
      <c r="I54" s="13"/>
      <c r="J54" s="13"/>
      <c r="K54" s="13"/>
      <c r="L54" s="13"/>
      <c r="M54" s="13"/>
    </row>
    <row r="55" spans="1:13" ht="16" customHeight="1" x14ac:dyDescent="0.2">
      <c r="A55" s="2" t="s">
        <v>156</v>
      </c>
      <c r="B55" s="3" t="s">
        <v>157</v>
      </c>
      <c r="C55" s="3" t="s">
        <v>4</v>
      </c>
      <c r="D55" s="3" t="s">
        <v>158</v>
      </c>
      <c r="E55" s="3">
        <f t="shared" si="0"/>
        <v>14</v>
      </c>
      <c r="F55" s="13"/>
      <c r="G55" s="13"/>
      <c r="H55" s="13">
        <v>1</v>
      </c>
      <c r="I55" s="13"/>
      <c r="J55" s="13"/>
      <c r="K55" s="13"/>
      <c r="L55" s="13"/>
      <c r="M55" s="13"/>
    </row>
    <row r="56" spans="1:13" ht="16" customHeight="1" x14ac:dyDescent="0.2">
      <c r="A56" s="2" t="s">
        <v>159</v>
      </c>
      <c r="B56" s="3" t="s">
        <v>160</v>
      </c>
      <c r="C56" s="3" t="s">
        <v>7</v>
      </c>
      <c r="D56" s="3" t="s">
        <v>161</v>
      </c>
      <c r="E56" s="3">
        <f t="shared" si="0"/>
        <v>9</v>
      </c>
      <c r="F56" s="13"/>
      <c r="G56" s="13"/>
      <c r="H56" s="13"/>
      <c r="I56" s="13"/>
      <c r="J56" s="13"/>
      <c r="K56" s="13"/>
      <c r="L56" s="13"/>
      <c r="M56" s="13"/>
    </row>
    <row r="57" spans="1:13" ht="16" customHeight="1" x14ac:dyDescent="0.2">
      <c r="A57" s="2" t="s">
        <v>162</v>
      </c>
      <c r="B57" s="3" t="s">
        <v>163</v>
      </c>
      <c r="C57" s="3" t="s">
        <v>4</v>
      </c>
      <c r="D57" s="3" t="s">
        <v>164</v>
      </c>
      <c r="E57" s="3">
        <f t="shared" si="0"/>
        <v>3</v>
      </c>
      <c r="F57" s="13"/>
      <c r="G57" s="13"/>
      <c r="H57" s="13"/>
      <c r="I57" s="13"/>
      <c r="J57" s="13"/>
      <c r="K57" s="13"/>
      <c r="L57" s="13"/>
      <c r="M57" s="13"/>
    </row>
    <row r="58" spans="1:13" ht="16" customHeight="1" x14ac:dyDescent="0.2">
      <c r="A58" s="2" t="s">
        <v>165</v>
      </c>
      <c r="B58" s="3" t="s">
        <v>166</v>
      </c>
      <c r="C58" s="3" t="s">
        <v>7</v>
      </c>
      <c r="D58" s="3" t="s">
        <v>92</v>
      </c>
      <c r="E58" s="3">
        <f t="shared" si="0"/>
        <v>1</v>
      </c>
      <c r="F58" s="13"/>
      <c r="G58" s="13"/>
      <c r="H58" s="13"/>
      <c r="I58" s="13"/>
      <c r="J58" s="13"/>
      <c r="K58" s="13"/>
      <c r="L58" s="13"/>
      <c r="M58" s="13"/>
    </row>
    <row r="59" spans="1:13" ht="16" customHeight="1" x14ac:dyDescent="0.2">
      <c r="A59" s="2" t="s">
        <v>167</v>
      </c>
      <c r="B59" s="3" t="s">
        <v>168</v>
      </c>
      <c r="C59" s="3" t="s">
        <v>4</v>
      </c>
      <c r="D59" s="3" t="s">
        <v>532</v>
      </c>
      <c r="E59" s="3">
        <f t="shared" si="0"/>
        <v>119</v>
      </c>
      <c r="F59" s="13"/>
      <c r="G59" s="13"/>
      <c r="H59" s="13"/>
      <c r="I59" s="13"/>
      <c r="J59" s="13"/>
      <c r="K59" s="13"/>
      <c r="L59" s="13"/>
      <c r="M59" s="13"/>
    </row>
    <row r="60" spans="1:13" ht="16" customHeight="1" x14ac:dyDescent="0.2">
      <c r="A60" s="2" t="s">
        <v>169</v>
      </c>
      <c r="B60" s="3" t="s">
        <v>170</v>
      </c>
      <c r="C60" s="3" t="s">
        <v>171</v>
      </c>
      <c r="D60" s="3" t="s">
        <v>92</v>
      </c>
      <c r="E60" s="3">
        <f t="shared" si="0"/>
        <v>1</v>
      </c>
      <c r="F60" s="13"/>
      <c r="G60" s="13"/>
      <c r="H60" s="13"/>
      <c r="I60" s="13"/>
      <c r="J60" s="13"/>
      <c r="K60" s="13"/>
      <c r="L60" s="13"/>
      <c r="M60" s="13"/>
    </row>
    <row r="61" spans="1:13" ht="16" customHeight="1" x14ac:dyDescent="0.2">
      <c r="A61" s="2" t="s">
        <v>172</v>
      </c>
      <c r="B61" s="3" t="s">
        <v>173</v>
      </c>
      <c r="C61" s="3" t="s">
        <v>4</v>
      </c>
      <c r="D61" s="3" t="s">
        <v>174</v>
      </c>
      <c r="E61" s="3">
        <f t="shared" si="0"/>
        <v>4</v>
      </c>
      <c r="F61" s="13"/>
      <c r="G61" s="13"/>
      <c r="H61" s="13"/>
      <c r="I61" s="13"/>
      <c r="J61" s="13"/>
      <c r="K61" s="13"/>
      <c r="L61" s="13"/>
      <c r="M61" s="13"/>
    </row>
    <row r="62" spans="1:13" ht="16" customHeight="1" x14ac:dyDescent="0.2">
      <c r="A62" s="2" t="s">
        <v>175</v>
      </c>
      <c r="B62" s="3" t="s">
        <v>176</v>
      </c>
      <c r="C62" s="3" t="s">
        <v>171</v>
      </c>
      <c r="D62" s="3" t="s">
        <v>177</v>
      </c>
      <c r="E62" s="3">
        <f t="shared" si="0"/>
        <v>4</v>
      </c>
      <c r="F62" s="13"/>
      <c r="G62" s="13"/>
      <c r="H62" s="13"/>
      <c r="I62" s="13"/>
      <c r="J62" s="13"/>
      <c r="K62" s="13"/>
      <c r="L62" s="13"/>
      <c r="M62" s="13"/>
    </row>
    <row r="63" spans="1:13" ht="16" customHeight="1" x14ac:dyDescent="0.2">
      <c r="A63" s="2" t="s">
        <v>178</v>
      </c>
      <c r="B63" s="3" t="s">
        <v>179</v>
      </c>
      <c r="C63" s="3" t="s">
        <v>4</v>
      </c>
      <c r="D63" s="3" t="s">
        <v>180</v>
      </c>
      <c r="E63" s="3">
        <f t="shared" si="0"/>
        <v>18</v>
      </c>
      <c r="F63" s="13"/>
      <c r="G63" s="13"/>
      <c r="H63" s="13"/>
      <c r="I63" s="13"/>
      <c r="J63" s="13"/>
      <c r="K63" s="13"/>
      <c r="L63" s="13">
        <v>1</v>
      </c>
      <c r="M63" s="13"/>
    </row>
    <row r="64" spans="1:13" ht="16" customHeight="1" x14ac:dyDescent="0.2">
      <c r="A64" s="2" t="s">
        <v>181</v>
      </c>
      <c r="B64" s="3" t="s">
        <v>182</v>
      </c>
      <c r="C64" s="3" t="s">
        <v>183</v>
      </c>
      <c r="D64" s="3" t="s">
        <v>184</v>
      </c>
      <c r="E64" s="3">
        <f t="shared" si="0"/>
        <v>1</v>
      </c>
      <c r="F64" s="13"/>
      <c r="G64" s="13"/>
      <c r="H64" s="13"/>
      <c r="I64" s="13"/>
      <c r="J64" s="13"/>
      <c r="K64" s="13"/>
      <c r="L64" s="13"/>
      <c r="M64" s="13"/>
    </row>
    <row r="65" spans="1:13" ht="16" customHeight="1" x14ac:dyDescent="0.2">
      <c r="A65" s="2" t="s">
        <v>185</v>
      </c>
      <c r="B65" s="3" t="s">
        <v>186</v>
      </c>
      <c r="C65" s="3" t="s">
        <v>4</v>
      </c>
      <c r="D65" s="3" t="s">
        <v>187</v>
      </c>
      <c r="E65" s="3">
        <f t="shared" si="0"/>
        <v>3</v>
      </c>
      <c r="F65" s="13"/>
      <c r="G65" s="13"/>
      <c r="H65" s="13">
        <v>1</v>
      </c>
      <c r="I65" s="13"/>
      <c r="J65" s="13"/>
      <c r="K65" s="13"/>
      <c r="L65" s="13"/>
      <c r="M65" s="13"/>
    </row>
    <row r="66" spans="1:13" ht="16" customHeight="1" x14ac:dyDescent="0.2">
      <c r="A66" s="2" t="s">
        <v>188</v>
      </c>
      <c r="B66" s="3" t="s">
        <v>189</v>
      </c>
      <c r="C66" s="3" t="s">
        <v>183</v>
      </c>
      <c r="D66" s="3" t="s">
        <v>190</v>
      </c>
      <c r="E66" s="3">
        <f t="shared" si="0"/>
        <v>11</v>
      </c>
      <c r="F66" s="13"/>
      <c r="G66" s="13"/>
      <c r="H66" s="13"/>
      <c r="I66" s="13"/>
      <c r="J66" s="13"/>
      <c r="K66" s="13"/>
      <c r="L66" s="13"/>
      <c r="M66" s="13"/>
    </row>
    <row r="67" spans="1:13" ht="16" customHeight="1" x14ac:dyDescent="0.2">
      <c r="A67" s="2" t="s">
        <v>191</v>
      </c>
      <c r="B67" s="3" t="s">
        <v>192</v>
      </c>
      <c r="C67" s="3" t="s">
        <v>4</v>
      </c>
      <c r="D67" s="3" t="s">
        <v>193</v>
      </c>
      <c r="E67" s="3">
        <f t="shared" si="0"/>
        <v>8</v>
      </c>
      <c r="F67" s="13">
        <v>1</v>
      </c>
      <c r="G67" s="13"/>
      <c r="H67" s="13"/>
      <c r="I67" s="13"/>
      <c r="J67" s="13"/>
      <c r="K67" s="13"/>
      <c r="L67" s="13"/>
      <c r="M67" s="13"/>
    </row>
    <row r="68" spans="1:13" ht="16" customHeight="1" x14ac:dyDescent="0.2">
      <c r="A68" s="2" t="s">
        <v>194</v>
      </c>
      <c r="B68" s="3" t="s">
        <v>195</v>
      </c>
      <c r="C68" s="3" t="s">
        <v>183</v>
      </c>
      <c r="D68" s="3" t="s">
        <v>67</v>
      </c>
      <c r="E68" s="3">
        <f t="shared" ref="E68:E131" si="1">LEN(D68)-LEN(SUBSTITUTE(D68," ",""))+1</f>
        <v>1</v>
      </c>
      <c r="F68" s="13"/>
      <c r="G68" s="13"/>
      <c r="H68" s="13"/>
      <c r="I68" s="13"/>
      <c r="J68" s="13"/>
      <c r="K68" s="13"/>
      <c r="L68" s="13"/>
      <c r="M68" s="13"/>
    </row>
    <row r="69" spans="1:13" ht="16" customHeight="1" x14ac:dyDescent="0.2">
      <c r="A69" s="2" t="s">
        <v>196</v>
      </c>
      <c r="B69" s="3" t="s">
        <v>197</v>
      </c>
      <c r="C69" s="3" t="s">
        <v>4</v>
      </c>
      <c r="D69" s="3" t="s">
        <v>198</v>
      </c>
      <c r="E69" s="3">
        <f t="shared" si="1"/>
        <v>12</v>
      </c>
      <c r="F69" s="13"/>
      <c r="G69" s="13"/>
      <c r="H69" s="13"/>
      <c r="I69" s="13"/>
      <c r="J69" s="13"/>
      <c r="K69" s="13">
        <v>1</v>
      </c>
      <c r="L69" s="13"/>
      <c r="M69" s="13"/>
    </row>
    <row r="70" spans="1:13" ht="16" customHeight="1" x14ac:dyDescent="0.2">
      <c r="A70" s="2" t="s">
        <v>199</v>
      </c>
      <c r="B70" s="3" t="s">
        <v>200</v>
      </c>
      <c r="C70" s="3" t="s">
        <v>201</v>
      </c>
      <c r="D70" s="3" t="s">
        <v>8</v>
      </c>
      <c r="E70" s="3">
        <f t="shared" si="1"/>
        <v>1</v>
      </c>
      <c r="F70" s="13"/>
      <c r="G70" s="13"/>
      <c r="H70" s="13"/>
      <c r="I70" s="13"/>
      <c r="J70" s="13"/>
      <c r="K70" s="13"/>
      <c r="L70" s="13"/>
      <c r="M70" s="13"/>
    </row>
    <row r="71" spans="1:13" ht="16" customHeight="1" x14ac:dyDescent="0.2">
      <c r="A71" s="2" t="s">
        <v>202</v>
      </c>
      <c r="B71" s="3" t="s">
        <v>203</v>
      </c>
      <c r="C71" s="3" t="s">
        <v>4</v>
      </c>
      <c r="D71" s="3" t="s">
        <v>204</v>
      </c>
      <c r="E71" s="3">
        <f t="shared" si="1"/>
        <v>8</v>
      </c>
      <c r="F71" s="13"/>
      <c r="G71" s="13"/>
      <c r="H71" s="13"/>
      <c r="I71" s="13"/>
      <c r="J71" s="13">
        <v>1</v>
      </c>
      <c r="K71" s="13"/>
      <c r="L71" s="13"/>
      <c r="M71" s="13"/>
    </row>
    <row r="72" spans="1:13" ht="16" customHeight="1" x14ac:dyDescent="0.2">
      <c r="A72" s="2" t="s">
        <v>205</v>
      </c>
      <c r="B72" s="3" t="s">
        <v>206</v>
      </c>
      <c r="C72" s="3" t="s">
        <v>201</v>
      </c>
      <c r="D72" s="3" t="s">
        <v>207</v>
      </c>
      <c r="E72" s="3">
        <f t="shared" si="1"/>
        <v>3</v>
      </c>
      <c r="F72" s="13"/>
      <c r="G72" s="13"/>
      <c r="H72" s="13"/>
      <c r="I72" s="13"/>
      <c r="J72" s="13"/>
      <c r="K72" s="13"/>
      <c r="L72" s="13"/>
      <c r="M72" s="13"/>
    </row>
    <row r="73" spans="1:13" ht="16" customHeight="1" x14ac:dyDescent="0.2">
      <c r="A73" s="2" t="s">
        <v>208</v>
      </c>
      <c r="B73" s="3" t="s">
        <v>209</v>
      </c>
      <c r="C73" s="3" t="s">
        <v>4</v>
      </c>
      <c r="D73" s="3" t="s">
        <v>210</v>
      </c>
      <c r="E73" s="3">
        <f t="shared" si="1"/>
        <v>8</v>
      </c>
      <c r="F73" s="13"/>
      <c r="G73" s="13">
        <v>1</v>
      </c>
      <c r="H73" s="13"/>
      <c r="I73" s="13"/>
      <c r="J73" s="13"/>
      <c r="K73" s="13"/>
      <c r="L73" s="13"/>
      <c r="M73" s="13"/>
    </row>
    <row r="74" spans="1:13" ht="16" customHeight="1" x14ac:dyDescent="0.2">
      <c r="A74" s="2" t="s">
        <v>211</v>
      </c>
      <c r="B74" s="3" t="s">
        <v>212</v>
      </c>
      <c r="C74" s="3" t="s">
        <v>183</v>
      </c>
      <c r="D74" s="3" t="s">
        <v>213</v>
      </c>
      <c r="E74" s="3">
        <f t="shared" si="1"/>
        <v>7</v>
      </c>
      <c r="F74" s="13"/>
      <c r="G74" s="13"/>
      <c r="H74" s="13"/>
      <c r="I74" s="13"/>
      <c r="J74" s="13"/>
      <c r="K74" s="13"/>
      <c r="L74" s="13"/>
      <c r="M74" s="13"/>
    </row>
    <row r="75" spans="1:13" ht="16" customHeight="1" x14ac:dyDescent="0.2">
      <c r="A75" s="2" t="s">
        <v>214</v>
      </c>
      <c r="B75" s="3" t="s">
        <v>215</v>
      </c>
      <c r="C75" s="3" t="s">
        <v>4</v>
      </c>
      <c r="D75" s="3" t="s">
        <v>216</v>
      </c>
      <c r="E75" s="3">
        <f t="shared" si="1"/>
        <v>24</v>
      </c>
      <c r="F75" s="13"/>
      <c r="G75" s="13"/>
      <c r="H75" s="13"/>
      <c r="I75" s="13"/>
      <c r="J75" s="13"/>
      <c r="K75" s="13">
        <v>1</v>
      </c>
      <c r="L75" s="13"/>
      <c r="M75" s="13"/>
    </row>
    <row r="76" spans="1:13" ht="16" customHeight="1" x14ac:dyDescent="0.2">
      <c r="A76" s="2" t="s">
        <v>217</v>
      </c>
      <c r="B76" s="3" t="s">
        <v>218</v>
      </c>
      <c r="C76" s="3" t="s">
        <v>201</v>
      </c>
      <c r="D76" s="3" t="s">
        <v>92</v>
      </c>
      <c r="E76" s="3">
        <f t="shared" si="1"/>
        <v>1</v>
      </c>
      <c r="F76" s="13"/>
      <c r="G76" s="13"/>
      <c r="H76" s="13"/>
      <c r="I76" s="13"/>
      <c r="J76" s="13"/>
      <c r="K76" s="13"/>
      <c r="L76" s="13"/>
      <c r="M76" s="13"/>
    </row>
    <row r="77" spans="1:13" ht="16" customHeight="1" x14ac:dyDescent="0.2">
      <c r="A77" s="2" t="s">
        <v>219</v>
      </c>
      <c r="B77" s="3" t="s">
        <v>220</v>
      </c>
      <c r="C77" s="3" t="s">
        <v>4</v>
      </c>
      <c r="D77" s="3" t="s">
        <v>533</v>
      </c>
      <c r="E77" s="3">
        <f t="shared" si="1"/>
        <v>164</v>
      </c>
      <c r="F77" s="13"/>
      <c r="G77" s="13"/>
      <c r="H77" s="13"/>
      <c r="I77" s="13"/>
      <c r="J77" s="13"/>
      <c r="K77" s="13"/>
      <c r="L77" s="13"/>
      <c r="M77" s="13"/>
    </row>
    <row r="78" spans="1:13" ht="16" customHeight="1" x14ac:dyDescent="0.2">
      <c r="A78" s="2" t="s">
        <v>221</v>
      </c>
      <c r="B78" s="3" t="s">
        <v>222</v>
      </c>
      <c r="C78" s="3" t="s">
        <v>20</v>
      </c>
      <c r="D78" s="3" t="s">
        <v>223</v>
      </c>
      <c r="E78" s="3">
        <f t="shared" si="1"/>
        <v>6</v>
      </c>
      <c r="F78" s="13"/>
      <c r="G78" s="13"/>
      <c r="H78" s="13"/>
      <c r="I78" s="13"/>
      <c r="J78" s="13"/>
      <c r="K78" s="13"/>
      <c r="L78" s="13"/>
      <c r="M78" s="13"/>
    </row>
    <row r="79" spans="1:13" ht="16" customHeight="1" x14ac:dyDescent="0.2">
      <c r="A79" s="2" t="s">
        <v>224</v>
      </c>
      <c r="B79" s="3" t="s">
        <v>225</v>
      </c>
      <c r="C79" s="3" t="s">
        <v>4</v>
      </c>
      <c r="D79" s="3" t="s">
        <v>226</v>
      </c>
      <c r="E79" s="3">
        <f t="shared" si="1"/>
        <v>23</v>
      </c>
      <c r="F79" s="13"/>
      <c r="G79" s="13"/>
      <c r="H79" s="13"/>
      <c r="I79" s="13"/>
      <c r="J79" s="13"/>
      <c r="K79" s="13"/>
      <c r="L79" s="13"/>
      <c r="M79" s="13"/>
    </row>
    <row r="80" spans="1:13" ht="16" customHeight="1" x14ac:dyDescent="0.2">
      <c r="A80" s="2" t="s">
        <v>227</v>
      </c>
      <c r="B80" s="3" t="s">
        <v>228</v>
      </c>
      <c r="C80" s="3" t="s">
        <v>20</v>
      </c>
      <c r="D80" s="3" t="s">
        <v>67</v>
      </c>
      <c r="E80" s="3">
        <f t="shared" si="1"/>
        <v>1</v>
      </c>
      <c r="F80" s="13"/>
      <c r="G80" s="13"/>
      <c r="H80" s="13"/>
      <c r="I80" s="13"/>
      <c r="J80" s="13"/>
      <c r="K80" s="13"/>
      <c r="L80" s="13"/>
      <c r="M80" s="13"/>
    </row>
    <row r="81" spans="1:13" ht="16" customHeight="1" x14ac:dyDescent="0.2">
      <c r="A81" s="2" t="s">
        <v>229</v>
      </c>
      <c r="B81" s="3" t="s">
        <v>230</v>
      </c>
      <c r="C81" s="3" t="s">
        <v>4</v>
      </c>
      <c r="D81" s="3" t="s">
        <v>231</v>
      </c>
      <c r="E81" s="3">
        <f t="shared" si="1"/>
        <v>11</v>
      </c>
      <c r="F81" s="13"/>
      <c r="G81" s="13"/>
      <c r="H81" s="13"/>
      <c r="I81" s="13"/>
      <c r="J81" s="13"/>
      <c r="K81" s="13"/>
      <c r="L81" s="13"/>
      <c r="M81" s="13"/>
    </row>
    <row r="82" spans="1:13" ht="16" customHeight="1" x14ac:dyDescent="0.2">
      <c r="A82" s="2" t="s">
        <v>232</v>
      </c>
      <c r="B82" s="3" t="s">
        <v>233</v>
      </c>
      <c r="C82" s="3" t="s">
        <v>20</v>
      </c>
      <c r="D82" s="3" t="s">
        <v>67</v>
      </c>
      <c r="E82" s="3">
        <f t="shared" si="1"/>
        <v>1</v>
      </c>
      <c r="F82" s="13"/>
      <c r="G82" s="13"/>
      <c r="H82" s="13"/>
      <c r="I82" s="13"/>
      <c r="J82" s="13"/>
      <c r="K82" s="13"/>
      <c r="L82" s="13"/>
      <c r="M82" s="13"/>
    </row>
    <row r="83" spans="1:13" ht="16" customHeight="1" x14ac:dyDescent="0.2">
      <c r="A83" s="2" t="s">
        <v>234</v>
      </c>
      <c r="B83" s="3" t="s">
        <v>235</v>
      </c>
      <c r="C83" s="3" t="s">
        <v>4</v>
      </c>
      <c r="D83" s="3" t="s">
        <v>236</v>
      </c>
      <c r="E83" s="3">
        <f t="shared" si="1"/>
        <v>6</v>
      </c>
      <c r="F83" s="13">
        <v>1</v>
      </c>
      <c r="G83" s="13"/>
      <c r="H83" s="13"/>
      <c r="I83" s="13"/>
      <c r="J83" s="13"/>
      <c r="K83" s="13"/>
      <c r="L83" s="13"/>
      <c r="M83" s="13"/>
    </row>
    <row r="84" spans="1:13" ht="16" customHeight="1" x14ac:dyDescent="0.2">
      <c r="A84" s="2" t="s">
        <v>237</v>
      </c>
      <c r="B84" s="3" t="s">
        <v>238</v>
      </c>
      <c r="C84" s="3" t="s">
        <v>20</v>
      </c>
      <c r="D84" s="3" t="s">
        <v>239</v>
      </c>
      <c r="E84" s="3">
        <f t="shared" si="1"/>
        <v>4</v>
      </c>
      <c r="F84" s="13"/>
      <c r="G84" s="13"/>
      <c r="H84" s="13"/>
      <c r="I84" s="13"/>
      <c r="J84" s="13"/>
      <c r="K84" s="13"/>
      <c r="L84" s="13"/>
      <c r="M84" s="13"/>
    </row>
    <row r="85" spans="1:13" ht="16" customHeight="1" x14ac:dyDescent="0.2">
      <c r="A85" s="2" t="s">
        <v>240</v>
      </c>
      <c r="B85" s="3" t="s">
        <v>241</v>
      </c>
      <c r="C85" s="3" t="s">
        <v>4</v>
      </c>
      <c r="D85" s="3" t="s">
        <v>242</v>
      </c>
      <c r="E85" s="3">
        <f t="shared" si="1"/>
        <v>8</v>
      </c>
      <c r="F85" s="13"/>
      <c r="G85" s="13"/>
      <c r="H85" s="13">
        <v>1</v>
      </c>
      <c r="I85" s="13"/>
      <c r="J85" s="13"/>
      <c r="K85" s="13"/>
      <c r="L85" s="13"/>
      <c r="M85" s="13"/>
    </row>
    <row r="86" spans="1:13" ht="16" customHeight="1" x14ac:dyDescent="0.2">
      <c r="A86" s="2" t="s">
        <v>243</v>
      </c>
      <c r="B86" s="3" t="s">
        <v>244</v>
      </c>
      <c r="C86" s="3" t="s">
        <v>20</v>
      </c>
      <c r="D86" s="3" t="s">
        <v>245</v>
      </c>
      <c r="E86" s="3">
        <f t="shared" si="1"/>
        <v>7</v>
      </c>
      <c r="F86" s="13"/>
      <c r="G86" s="13"/>
      <c r="H86" s="13"/>
      <c r="I86" s="13"/>
      <c r="J86" s="13"/>
      <c r="K86" s="13"/>
      <c r="L86" s="13"/>
      <c r="M86" s="13"/>
    </row>
    <row r="87" spans="1:13" ht="16" customHeight="1" x14ac:dyDescent="0.2">
      <c r="A87" s="2" t="s">
        <v>246</v>
      </c>
      <c r="B87" s="3" t="s">
        <v>247</v>
      </c>
      <c r="C87" s="3" t="s">
        <v>4</v>
      </c>
      <c r="D87" s="3" t="s">
        <v>534</v>
      </c>
      <c r="E87" s="3">
        <f t="shared" si="1"/>
        <v>38</v>
      </c>
      <c r="F87" s="13"/>
      <c r="G87" s="13"/>
      <c r="H87" s="13"/>
      <c r="I87" s="13"/>
      <c r="J87" s="13"/>
      <c r="K87" s="13"/>
      <c r="L87" s="13">
        <v>1</v>
      </c>
      <c r="M87" s="13"/>
    </row>
    <row r="88" spans="1:13" ht="16" customHeight="1" x14ac:dyDescent="0.2">
      <c r="A88" s="2" t="s">
        <v>248</v>
      </c>
      <c r="B88" s="3" t="s">
        <v>249</v>
      </c>
      <c r="C88" s="3" t="s">
        <v>26</v>
      </c>
      <c r="D88" s="3" t="s">
        <v>250</v>
      </c>
      <c r="E88" s="3">
        <f t="shared" si="1"/>
        <v>5</v>
      </c>
      <c r="F88" s="13"/>
      <c r="G88" s="13"/>
      <c r="H88" s="13"/>
      <c r="I88" s="13"/>
      <c r="J88" s="13"/>
      <c r="K88" s="13"/>
      <c r="L88" s="13"/>
      <c r="M88" s="13"/>
    </row>
    <row r="89" spans="1:13" ht="16" customHeight="1" x14ac:dyDescent="0.2">
      <c r="A89" s="2" t="s">
        <v>251</v>
      </c>
      <c r="B89" s="3" t="s">
        <v>252</v>
      </c>
      <c r="C89" s="3" t="s">
        <v>4</v>
      </c>
      <c r="D89" s="3" t="s">
        <v>253</v>
      </c>
      <c r="E89" s="3">
        <f t="shared" si="1"/>
        <v>19</v>
      </c>
      <c r="F89" s="13"/>
      <c r="G89" s="13"/>
      <c r="H89" s="13">
        <v>1</v>
      </c>
      <c r="I89" s="13"/>
      <c r="J89" s="13"/>
      <c r="K89" s="13"/>
      <c r="L89" s="13"/>
      <c r="M89" s="13"/>
    </row>
    <row r="90" spans="1:13" ht="16" customHeight="1" x14ac:dyDescent="0.2">
      <c r="A90" s="2" t="s">
        <v>254</v>
      </c>
      <c r="B90" s="3" t="s">
        <v>255</v>
      </c>
      <c r="C90" s="3" t="s">
        <v>26</v>
      </c>
      <c r="D90" s="3" t="s">
        <v>92</v>
      </c>
      <c r="E90" s="3">
        <f t="shared" si="1"/>
        <v>1</v>
      </c>
      <c r="F90" s="13"/>
      <c r="G90" s="13"/>
      <c r="H90" s="13"/>
      <c r="I90" s="13"/>
      <c r="J90" s="13"/>
      <c r="K90" s="13"/>
      <c r="L90" s="13"/>
      <c r="M90" s="13"/>
    </row>
    <row r="91" spans="1:13" ht="16" customHeight="1" x14ac:dyDescent="0.2">
      <c r="A91" s="2" t="s">
        <v>256</v>
      </c>
      <c r="B91" s="3" t="s">
        <v>257</v>
      </c>
      <c r="C91" s="3" t="s">
        <v>4</v>
      </c>
      <c r="D91" s="3" t="s">
        <v>535</v>
      </c>
      <c r="E91" s="3">
        <f t="shared" si="1"/>
        <v>67</v>
      </c>
      <c r="F91" s="13"/>
      <c r="G91" s="13"/>
      <c r="H91" s="13"/>
      <c r="I91" s="13"/>
      <c r="J91" s="13"/>
      <c r="K91" s="13"/>
      <c r="L91" s="13"/>
      <c r="M91" s="13"/>
    </row>
    <row r="92" spans="1:13" ht="16" customHeight="1" x14ac:dyDescent="0.2">
      <c r="A92" s="2" t="s">
        <v>258</v>
      </c>
      <c r="B92" s="3" t="s">
        <v>259</v>
      </c>
      <c r="C92" s="3" t="s">
        <v>7</v>
      </c>
      <c r="D92" s="3" t="s">
        <v>260</v>
      </c>
      <c r="E92" s="3">
        <f t="shared" si="1"/>
        <v>4</v>
      </c>
      <c r="F92" s="13"/>
      <c r="G92" s="13"/>
      <c r="H92" s="13"/>
      <c r="I92" s="13"/>
      <c r="J92" s="13"/>
      <c r="K92" s="13"/>
      <c r="L92" s="13"/>
      <c r="M92" s="13"/>
    </row>
    <row r="93" spans="1:13" ht="16" customHeight="1" x14ac:dyDescent="0.2">
      <c r="A93" s="2" t="s">
        <v>261</v>
      </c>
      <c r="B93" s="3" t="s">
        <v>262</v>
      </c>
      <c r="C93" s="3" t="s">
        <v>4</v>
      </c>
      <c r="D93" s="3" t="s">
        <v>263</v>
      </c>
      <c r="E93" s="3">
        <f t="shared" si="1"/>
        <v>4</v>
      </c>
      <c r="F93" s="13"/>
      <c r="G93" s="13">
        <v>1</v>
      </c>
      <c r="H93" s="13"/>
      <c r="I93" s="13"/>
      <c r="J93" s="13"/>
      <c r="K93" s="13"/>
      <c r="L93" s="13"/>
      <c r="M93" s="13"/>
    </row>
    <row r="94" spans="1:13" ht="16" customHeight="1" x14ac:dyDescent="0.2">
      <c r="A94" s="2" t="s">
        <v>264</v>
      </c>
      <c r="B94" s="3" t="s">
        <v>265</v>
      </c>
      <c r="C94" s="3" t="s">
        <v>7</v>
      </c>
      <c r="D94" s="3" t="s">
        <v>266</v>
      </c>
      <c r="E94" s="3">
        <f t="shared" si="1"/>
        <v>2</v>
      </c>
      <c r="F94" s="13"/>
      <c r="G94" s="13"/>
      <c r="H94" s="13"/>
      <c r="I94" s="13"/>
      <c r="J94" s="13"/>
      <c r="K94" s="13"/>
      <c r="L94" s="13"/>
      <c r="M94" s="13"/>
    </row>
    <row r="95" spans="1:13" ht="16" customHeight="1" x14ac:dyDescent="0.2">
      <c r="A95" s="2" t="s">
        <v>267</v>
      </c>
      <c r="B95" s="3" t="s">
        <v>268</v>
      </c>
      <c r="C95" s="3" t="s">
        <v>4</v>
      </c>
      <c r="D95" s="3" t="s">
        <v>269</v>
      </c>
      <c r="E95" s="3">
        <f t="shared" si="1"/>
        <v>66</v>
      </c>
      <c r="F95" s="13"/>
      <c r="G95" s="13"/>
      <c r="H95" s="13"/>
      <c r="I95" s="13"/>
      <c r="J95" s="13"/>
      <c r="K95" s="13">
        <v>1</v>
      </c>
      <c r="L95" s="13">
        <v>1</v>
      </c>
      <c r="M95" s="13"/>
    </row>
    <row r="96" spans="1:13" ht="16" customHeight="1" x14ac:dyDescent="0.2">
      <c r="A96" s="2" t="s">
        <v>270</v>
      </c>
      <c r="B96" s="3" t="s">
        <v>271</v>
      </c>
      <c r="C96" s="3" t="s">
        <v>272</v>
      </c>
      <c r="D96" s="3" t="s">
        <v>273</v>
      </c>
      <c r="E96" s="3">
        <f t="shared" si="1"/>
        <v>5</v>
      </c>
      <c r="F96" s="13"/>
      <c r="G96" s="13"/>
      <c r="H96" s="13"/>
      <c r="I96" s="13"/>
      <c r="J96" s="13"/>
      <c r="K96" s="13"/>
      <c r="L96" s="13"/>
      <c r="M96" s="13"/>
    </row>
    <row r="97" spans="1:13" ht="16" customHeight="1" x14ac:dyDescent="0.2">
      <c r="A97" s="2" t="s">
        <v>274</v>
      </c>
      <c r="B97" s="3" t="s">
        <v>275</v>
      </c>
      <c r="C97" s="3" t="s">
        <v>4</v>
      </c>
      <c r="D97" s="3" t="s">
        <v>276</v>
      </c>
      <c r="E97" s="3">
        <f t="shared" si="1"/>
        <v>34</v>
      </c>
      <c r="F97" s="13"/>
      <c r="G97" s="13"/>
      <c r="H97" s="13"/>
      <c r="I97" s="13"/>
      <c r="J97" s="13"/>
      <c r="K97" s="13"/>
      <c r="L97" s="13">
        <v>1</v>
      </c>
      <c r="M97" s="13"/>
    </row>
    <row r="98" spans="1:13" ht="16" customHeight="1" x14ac:dyDescent="0.2">
      <c r="A98" s="2" t="s">
        <v>277</v>
      </c>
      <c r="B98" s="3" t="s">
        <v>278</v>
      </c>
      <c r="C98" s="3" t="s">
        <v>26</v>
      </c>
      <c r="D98" s="3" t="s">
        <v>92</v>
      </c>
      <c r="E98" s="3">
        <f t="shared" si="1"/>
        <v>1</v>
      </c>
      <c r="F98" s="13"/>
      <c r="G98" s="13"/>
      <c r="H98" s="13"/>
      <c r="I98" s="13"/>
      <c r="J98" s="13"/>
      <c r="K98" s="13"/>
      <c r="L98" s="13"/>
      <c r="M98" s="13"/>
    </row>
    <row r="99" spans="1:13" ht="16" customHeight="1" x14ac:dyDescent="0.2">
      <c r="A99" s="2" t="s">
        <v>279</v>
      </c>
      <c r="B99" s="3" t="s">
        <v>280</v>
      </c>
      <c r="C99" s="3" t="s">
        <v>4</v>
      </c>
      <c r="D99" s="3" t="s">
        <v>536</v>
      </c>
      <c r="E99" s="3">
        <f t="shared" si="1"/>
        <v>82</v>
      </c>
      <c r="F99" s="13"/>
      <c r="G99" s="13"/>
      <c r="H99" s="13"/>
      <c r="I99" s="13"/>
      <c r="J99" s="13"/>
      <c r="K99" s="13"/>
      <c r="L99" s="13"/>
      <c r="M99" s="13"/>
    </row>
    <row r="100" spans="1:13" ht="16" customHeight="1" x14ac:dyDescent="0.2">
      <c r="A100" s="2" t="s">
        <v>281</v>
      </c>
      <c r="B100" s="3" t="s">
        <v>282</v>
      </c>
      <c r="C100" s="3" t="s">
        <v>283</v>
      </c>
      <c r="D100" s="3" t="s">
        <v>284</v>
      </c>
      <c r="E100" s="3">
        <f t="shared" si="1"/>
        <v>2</v>
      </c>
      <c r="F100" s="13"/>
      <c r="G100" s="13"/>
      <c r="H100" s="13"/>
      <c r="I100" s="13"/>
      <c r="J100" s="13"/>
      <c r="K100" s="13"/>
      <c r="L100" s="13"/>
      <c r="M100" s="13"/>
    </row>
    <row r="101" spans="1:13" ht="16" customHeight="1" x14ac:dyDescent="0.2">
      <c r="A101" s="2" t="s">
        <v>285</v>
      </c>
      <c r="B101" s="3" t="s">
        <v>286</v>
      </c>
      <c r="C101" s="3" t="s">
        <v>4</v>
      </c>
      <c r="D101" s="3" t="s">
        <v>287</v>
      </c>
      <c r="E101" s="3">
        <f t="shared" si="1"/>
        <v>5</v>
      </c>
      <c r="F101" s="13">
        <v>1</v>
      </c>
      <c r="G101" s="13"/>
      <c r="H101" s="13"/>
      <c r="I101" s="13"/>
      <c r="J101" s="13"/>
      <c r="K101" s="13"/>
      <c r="L101" s="13"/>
      <c r="M101" s="13"/>
    </row>
    <row r="102" spans="1:13" ht="16" customHeight="1" x14ac:dyDescent="0.2">
      <c r="A102" s="2" t="s">
        <v>288</v>
      </c>
      <c r="B102" s="3" t="s">
        <v>289</v>
      </c>
      <c r="C102" s="3" t="s">
        <v>283</v>
      </c>
      <c r="D102" s="3" t="s">
        <v>290</v>
      </c>
      <c r="E102" s="3">
        <f t="shared" si="1"/>
        <v>6</v>
      </c>
      <c r="F102" s="13"/>
      <c r="G102" s="13"/>
      <c r="H102" s="13"/>
      <c r="I102" s="13"/>
      <c r="J102" s="13"/>
      <c r="K102" s="13"/>
      <c r="L102" s="13"/>
      <c r="M102" s="13"/>
    </row>
    <row r="103" spans="1:13" ht="16" customHeight="1" x14ac:dyDescent="0.2">
      <c r="A103" s="2" t="s">
        <v>291</v>
      </c>
      <c r="B103" s="3" t="s">
        <v>292</v>
      </c>
      <c r="C103" s="3" t="s">
        <v>4</v>
      </c>
      <c r="D103" s="3" t="s">
        <v>293</v>
      </c>
      <c r="E103" s="3">
        <f t="shared" si="1"/>
        <v>9</v>
      </c>
      <c r="F103" s="13"/>
      <c r="G103" s="13"/>
      <c r="H103" s="13"/>
      <c r="I103" s="13"/>
      <c r="J103" s="13">
        <v>1</v>
      </c>
      <c r="K103" s="13"/>
      <c r="L103" s="13"/>
      <c r="M103" s="13"/>
    </row>
    <row r="104" spans="1:13" ht="16" customHeight="1" x14ac:dyDescent="0.2">
      <c r="A104" s="2" t="s">
        <v>294</v>
      </c>
      <c r="B104" s="3" t="s">
        <v>295</v>
      </c>
      <c r="C104" s="3" t="s">
        <v>296</v>
      </c>
      <c r="D104" s="3" t="s">
        <v>297</v>
      </c>
      <c r="E104" s="3">
        <f t="shared" si="1"/>
        <v>1</v>
      </c>
      <c r="F104" s="13"/>
      <c r="G104" s="13"/>
      <c r="H104" s="13"/>
      <c r="I104" s="13"/>
      <c r="J104" s="13"/>
      <c r="K104" s="13"/>
      <c r="L104" s="13"/>
      <c r="M104" s="13"/>
    </row>
    <row r="105" spans="1:13" ht="16" customHeight="1" x14ac:dyDescent="0.2">
      <c r="A105" s="2" t="s">
        <v>298</v>
      </c>
      <c r="B105" s="3" t="s">
        <v>299</v>
      </c>
      <c r="C105" s="3" t="s">
        <v>4</v>
      </c>
      <c r="D105" s="3" t="s">
        <v>300</v>
      </c>
      <c r="E105" s="3">
        <f t="shared" si="1"/>
        <v>12</v>
      </c>
      <c r="F105" s="13"/>
      <c r="G105" s="13"/>
      <c r="H105" s="13"/>
      <c r="I105" s="13"/>
      <c r="J105" s="13"/>
      <c r="K105" s="13"/>
      <c r="L105" s="13"/>
      <c r="M105" s="13">
        <v>1</v>
      </c>
    </row>
    <row r="106" spans="1:13" ht="16" customHeight="1" x14ac:dyDescent="0.2">
      <c r="A106" s="2" t="s">
        <v>301</v>
      </c>
      <c r="B106" s="3" t="s">
        <v>302</v>
      </c>
      <c r="C106" s="3" t="s">
        <v>303</v>
      </c>
      <c r="D106" s="3" t="s">
        <v>304</v>
      </c>
      <c r="E106" s="3">
        <f t="shared" si="1"/>
        <v>4</v>
      </c>
      <c r="F106" s="13"/>
      <c r="G106" s="13"/>
      <c r="H106" s="13"/>
      <c r="I106" s="13"/>
      <c r="J106" s="13"/>
      <c r="K106" s="13"/>
      <c r="L106" s="13"/>
      <c r="M106" s="13"/>
    </row>
    <row r="107" spans="1:13" ht="16" customHeight="1" x14ac:dyDescent="0.2">
      <c r="A107" s="2" t="s">
        <v>305</v>
      </c>
      <c r="B107" s="3" t="s">
        <v>306</v>
      </c>
      <c r="C107" s="3" t="s">
        <v>4</v>
      </c>
      <c r="D107" s="3" t="s">
        <v>307</v>
      </c>
      <c r="E107" s="3">
        <f t="shared" si="1"/>
        <v>9</v>
      </c>
      <c r="F107" s="13"/>
      <c r="G107" s="13"/>
      <c r="H107" s="13"/>
      <c r="I107" s="13"/>
      <c r="J107" s="13">
        <v>1</v>
      </c>
      <c r="K107" s="13"/>
      <c r="L107" s="13"/>
      <c r="M107" s="13"/>
    </row>
    <row r="108" spans="1:13" ht="16" customHeight="1" x14ac:dyDescent="0.2">
      <c r="A108" s="2" t="s">
        <v>308</v>
      </c>
      <c r="B108" s="3" t="s">
        <v>309</v>
      </c>
      <c r="C108" s="3" t="s">
        <v>119</v>
      </c>
      <c r="D108" s="3" t="s">
        <v>310</v>
      </c>
      <c r="E108" s="3">
        <f t="shared" si="1"/>
        <v>4</v>
      </c>
      <c r="F108" s="13"/>
      <c r="G108" s="13"/>
      <c r="H108" s="13"/>
      <c r="I108" s="13"/>
      <c r="J108" s="13"/>
      <c r="K108" s="13"/>
      <c r="L108" s="13"/>
      <c r="M108" s="13"/>
    </row>
    <row r="109" spans="1:13" ht="16" customHeight="1" x14ac:dyDescent="0.2">
      <c r="A109" s="2" t="s">
        <v>311</v>
      </c>
      <c r="B109" s="3" t="s">
        <v>312</v>
      </c>
      <c r="C109" s="3" t="s">
        <v>4</v>
      </c>
      <c r="D109" s="3" t="s">
        <v>313</v>
      </c>
      <c r="E109" s="3">
        <f t="shared" si="1"/>
        <v>61</v>
      </c>
      <c r="F109" s="13"/>
      <c r="G109" s="13"/>
      <c r="H109" s="13"/>
      <c r="I109" s="13"/>
      <c r="J109" s="13"/>
      <c r="K109" s="13"/>
      <c r="L109" s="13"/>
      <c r="M109" s="13"/>
    </row>
    <row r="110" spans="1:13" ht="16" customHeight="1" x14ac:dyDescent="0.2">
      <c r="A110" s="2" t="s">
        <v>314</v>
      </c>
      <c r="B110" s="3" t="s">
        <v>315</v>
      </c>
      <c r="C110" s="3" t="s">
        <v>119</v>
      </c>
      <c r="D110" s="3" t="s">
        <v>316</v>
      </c>
      <c r="E110" s="3">
        <f t="shared" si="1"/>
        <v>2</v>
      </c>
      <c r="F110" s="13"/>
      <c r="G110" s="13"/>
      <c r="H110" s="13"/>
      <c r="I110" s="13"/>
      <c r="J110" s="13"/>
      <c r="K110" s="13"/>
      <c r="L110" s="13"/>
      <c r="M110" s="13"/>
    </row>
    <row r="111" spans="1:13" ht="16" customHeight="1" x14ac:dyDescent="0.2">
      <c r="A111" s="2" t="s">
        <v>317</v>
      </c>
      <c r="B111" s="3" t="s">
        <v>318</v>
      </c>
      <c r="C111" s="3" t="s">
        <v>4</v>
      </c>
      <c r="D111" s="3" t="s">
        <v>537</v>
      </c>
      <c r="E111" s="3">
        <f t="shared" si="1"/>
        <v>54</v>
      </c>
      <c r="F111" s="13"/>
      <c r="G111" s="13"/>
      <c r="H111" s="13"/>
      <c r="I111" s="13"/>
      <c r="J111" s="13"/>
      <c r="K111" s="13"/>
      <c r="L111" s="13"/>
      <c r="M111" s="13"/>
    </row>
    <row r="112" spans="1:13" ht="16" customHeight="1" x14ac:dyDescent="0.2">
      <c r="A112" s="2" t="s">
        <v>319</v>
      </c>
      <c r="B112" s="3" t="s">
        <v>320</v>
      </c>
      <c r="C112" s="3" t="s">
        <v>321</v>
      </c>
      <c r="D112" s="3" t="s">
        <v>297</v>
      </c>
      <c r="E112" s="3">
        <f t="shared" si="1"/>
        <v>1</v>
      </c>
      <c r="F112" s="13"/>
      <c r="G112" s="13"/>
      <c r="H112" s="13"/>
      <c r="I112" s="13"/>
      <c r="J112" s="13"/>
      <c r="K112" s="13"/>
      <c r="L112" s="13"/>
      <c r="M112" s="13"/>
    </row>
    <row r="113" spans="1:13" ht="16" customHeight="1" x14ac:dyDescent="0.2">
      <c r="A113" s="2" t="s">
        <v>322</v>
      </c>
      <c r="B113" s="3" t="s">
        <v>323</v>
      </c>
      <c r="C113" s="3" t="s">
        <v>4</v>
      </c>
      <c r="D113" s="3" t="s">
        <v>324</v>
      </c>
      <c r="E113" s="3">
        <f t="shared" si="1"/>
        <v>4</v>
      </c>
      <c r="F113" s="13"/>
      <c r="G113" s="13"/>
      <c r="H113" s="13"/>
      <c r="I113" s="13"/>
      <c r="J113" s="13"/>
      <c r="K113" s="13"/>
      <c r="L113" s="13"/>
      <c r="M113" s="13"/>
    </row>
    <row r="114" spans="1:13" ht="16" customHeight="1" x14ac:dyDescent="0.2">
      <c r="A114" s="2" t="s">
        <v>325</v>
      </c>
      <c r="B114" s="3" t="s">
        <v>326</v>
      </c>
      <c r="C114" s="3" t="s">
        <v>321</v>
      </c>
      <c r="D114" s="3" t="s">
        <v>327</v>
      </c>
      <c r="E114" s="3">
        <f t="shared" si="1"/>
        <v>3</v>
      </c>
      <c r="F114" s="13"/>
      <c r="G114" s="13"/>
      <c r="H114" s="13"/>
      <c r="I114" s="13"/>
      <c r="J114" s="13"/>
      <c r="K114" s="13"/>
      <c r="L114" s="13"/>
      <c r="M114" s="13"/>
    </row>
    <row r="115" spans="1:13" ht="16" customHeight="1" x14ac:dyDescent="0.2">
      <c r="A115" s="2" t="s">
        <v>328</v>
      </c>
      <c r="B115" s="3" t="s">
        <v>329</v>
      </c>
      <c r="C115" s="3" t="s">
        <v>4</v>
      </c>
      <c r="D115" s="3" t="s">
        <v>330</v>
      </c>
      <c r="E115" s="3">
        <f t="shared" si="1"/>
        <v>18</v>
      </c>
      <c r="F115" s="13"/>
      <c r="G115" s="13"/>
      <c r="H115" s="13"/>
      <c r="I115" s="13"/>
      <c r="J115" s="13"/>
      <c r="K115" s="13"/>
      <c r="L115" s="13">
        <v>1</v>
      </c>
      <c r="M115" s="13"/>
    </row>
    <row r="116" spans="1:13" ht="16" customHeight="1" x14ac:dyDescent="0.2">
      <c r="A116" s="2" t="s">
        <v>331</v>
      </c>
      <c r="B116" s="3" t="s">
        <v>332</v>
      </c>
      <c r="C116" s="3" t="s">
        <v>20</v>
      </c>
      <c r="D116" s="3" t="s">
        <v>333</v>
      </c>
      <c r="E116" s="3">
        <f t="shared" si="1"/>
        <v>7</v>
      </c>
      <c r="F116" s="13"/>
      <c r="G116" s="13"/>
      <c r="H116" s="13"/>
      <c r="I116" s="13"/>
      <c r="J116" s="13"/>
      <c r="K116" s="13"/>
      <c r="L116" s="13"/>
      <c r="M116" s="13"/>
    </row>
    <row r="117" spans="1:13" ht="16" customHeight="1" x14ac:dyDescent="0.2">
      <c r="A117" s="2" t="s">
        <v>334</v>
      </c>
      <c r="B117" s="3" t="s">
        <v>335</v>
      </c>
      <c r="C117" s="3" t="s">
        <v>4</v>
      </c>
      <c r="D117" s="3" t="s">
        <v>538</v>
      </c>
      <c r="E117" s="3">
        <f t="shared" si="1"/>
        <v>38</v>
      </c>
      <c r="F117" s="13"/>
      <c r="G117" s="13"/>
      <c r="H117" s="13"/>
      <c r="I117" s="13"/>
      <c r="J117" s="13"/>
      <c r="K117" s="13"/>
      <c r="L117" s="13"/>
      <c r="M117" s="13"/>
    </row>
    <row r="118" spans="1:13" ht="16" customHeight="1" x14ac:dyDescent="0.2">
      <c r="A118" s="2" t="s">
        <v>336</v>
      </c>
      <c r="B118" s="3" t="s">
        <v>337</v>
      </c>
      <c r="C118" s="3" t="s">
        <v>20</v>
      </c>
      <c r="D118" s="3" t="s">
        <v>338</v>
      </c>
      <c r="E118" s="3">
        <f t="shared" si="1"/>
        <v>1</v>
      </c>
      <c r="F118" s="13"/>
      <c r="G118" s="13"/>
      <c r="H118" s="13"/>
      <c r="I118" s="13"/>
      <c r="J118" s="13"/>
      <c r="K118" s="13"/>
      <c r="L118" s="13"/>
      <c r="M118" s="13"/>
    </row>
    <row r="119" spans="1:13" ht="16" customHeight="1" x14ac:dyDescent="0.2">
      <c r="A119" s="2" t="s">
        <v>339</v>
      </c>
      <c r="B119" s="3" t="s">
        <v>340</v>
      </c>
      <c r="C119" s="3" t="s">
        <v>4</v>
      </c>
      <c r="D119" s="3" t="s">
        <v>341</v>
      </c>
      <c r="E119" s="3">
        <f t="shared" si="1"/>
        <v>8</v>
      </c>
      <c r="F119" s="13"/>
      <c r="G119" s="13"/>
      <c r="H119" s="13"/>
      <c r="I119" s="13"/>
      <c r="J119" s="13"/>
      <c r="K119" s="13"/>
      <c r="L119" s="13">
        <v>1</v>
      </c>
      <c r="M119" s="13"/>
    </row>
    <row r="120" spans="1:13" ht="16" customHeight="1" x14ac:dyDescent="0.2">
      <c r="A120" s="2" t="s">
        <v>342</v>
      </c>
      <c r="B120" s="3" t="s">
        <v>343</v>
      </c>
      <c r="C120" s="3" t="s">
        <v>54</v>
      </c>
      <c r="D120" s="3" t="s">
        <v>344</v>
      </c>
      <c r="E120" s="3">
        <f t="shared" si="1"/>
        <v>5</v>
      </c>
      <c r="F120" s="13"/>
      <c r="G120" s="13"/>
      <c r="H120" s="13"/>
      <c r="I120" s="13"/>
      <c r="J120" s="13"/>
      <c r="K120" s="13"/>
      <c r="L120" s="13"/>
      <c r="M120" s="13"/>
    </row>
    <row r="121" spans="1:13" ht="16" customHeight="1" x14ac:dyDescent="0.2">
      <c r="A121" s="2" t="s">
        <v>345</v>
      </c>
      <c r="B121" s="3" t="s">
        <v>346</v>
      </c>
      <c r="C121" s="3" t="s">
        <v>4</v>
      </c>
      <c r="D121" s="3" t="s">
        <v>539</v>
      </c>
      <c r="E121" s="3">
        <f t="shared" si="1"/>
        <v>80</v>
      </c>
      <c r="F121" s="13"/>
      <c r="G121" s="13"/>
      <c r="H121" s="13"/>
      <c r="I121" s="13"/>
      <c r="J121" s="13"/>
      <c r="K121" s="13"/>
      <c r="L121" s="13"/>
      <c r="M121" s="13"/>
    </row>
    <row r="122" spans="1:13" ht="16" customHeight="1" x14ac:dyDescent="0.2">
      <c r="A122" s="2" t="s">
        <v>347</v>
      </c>
      <c r="B122" s="3" t="s">
        <v>348</v>
      </c>
      <c r="C122" s="3" t="s">
        <v>20</v>
      </c>
      <c r="D122" s="3" t="s">
        <v>297</v>
      </c>
      <c r="E122" s="3">
        <f t="shared" si="1"/>
        <v>1</v>
      </c>
      <c r="F122" s="13"/>
      <c r="G122" s="13"/>
      <c r="H122" s="13"/>
      <c r="I122" s="13"/>
      <c r="J122" s="13"/>
      <c r="K122" s="13"/>
      <c r="L122" s="13"/>
      <c r="M122" s="13"/>
    </row>
    <row r="123" spans="1:13" ht="16" customHeight="1" x14ac:dyDescent="0.2">
      <c r="A123" s="2" t="s">
        <v>349</v>
      </c>
      <c r="B123" s="3" t="s">
        <v>350</v>
      </c>
      <c r="C123" s="3" t="s">
        <v>4</v>
      </c>
      <c r="D123" s="3" t="s">
        <v>351</v>
      </c>
      <c r="E123" s="3">
        <f t="shared" si="1"/>
        <v>9</v>
      </c>
      <c r="F123" s="13"/>
      <c r="G123" s="13"/>
      <c r="H123" s="13">
        <v>1</v>
      </c>
      <c r="I123" s="13"/>
      <c r="J123" s="13"/>
      <c r="K123" s="13"/>
      <c r="L123" s="13"/>
      <c r="M123" s="13"/>
    </row>
    <row r="124" spans="1:13" ht="16" customHeight="1" x14ac:dyDescent="0.2">
      <c r="A124" s="2" t="s">
        <v>352</v>
      </c>
      <c r="B124" s="3" t="s">
        <v>353</v>
      </c>
      <c r="C124" s="3" t="s">
        <v>20</v>
      </c>
      <c r="D124" s="3" t="s">
        <v>354</v>
      </c>
      <c r="E124" s="3">
        <f t="shared" si="1"/>
        <v>10</v>
      </c>
      <c r="F124" s="13"/>
      <c r="G124" s="13"/>
      <c r="H124" s="13"/>
      <c r="I124" s="13"/>
      <c r="J124" s="13"/>
      <c r="K124" s="13"/>
      <c r="L124" s="13"/>
      <c r="M124" s="13"/>
    </row>
    <row r="125" spans="1:13" ht="16" customHeight="1" x14ac:dyDescent="0.2">
      <c r="A125" s="2" t="s">
        <v>355</v>
      </c>
      <c r="B125" s="3" t="s">
        <v>356</v>
      </c>
      <c r="C125" s="3" t="s">
        <v>4</v>
      </c>
      <c r="D125" s="3" t="s">
        <v>357</v>
      </c>
      <c r="E125" s="3">
        <f t="shared" si="1"/>
        <v>12</v>
      </c>
      <c r="F125" s="13"/>
      <c r="G125" s="13"/>
      <c r="H125" s="13"/>
      <c r="I125" s="13">
        <v>1</v>
      </c>
      <c r="J125" s="13"/>
      <c r="K125" s="13"/>
      <c r="L125" s="13"/>
      <c r="M125" s="13"/>
    </row>
    <row r="126" spans="1:13" ht="16" customHeight="1" x14ac:dyDescent="0.2">
      <c r="A126" s="2" t="s">
        <v>358</v>
      </c>
      <c r="B126" s="3" t="s">
        <v>359</v>
      </c>
      <c r="C126" s="3" t="s">
        <v>20</v>
      </c>
      <c r="D126" s="3" t="s">
        <v>360</v>
      </c>
      <c r="E126" s="3">
        <f t="shared" si="1"/>
        <v>10</v>
      </c>
      <c r="F126" s="13"/>
      <c r="G126" s="13"/>
      <c r="H126" s="13"/>
      <c r="I126" s="13"/>
      <c r="J126" s="13"/>
      <c r="K126" s="13"/>
      <c r="L126" s="13"/>
      <c r="M126" s="13"/>
    </row>
    <row r="127" spans="1:13" ht="16" customHeight="1" x14ac:dyDescent="0.2">
      <c r="A127" s="2" t="s">
        <v>361</v>
      </c>
      <c r="B127" s="3" t="s">
        <v>362</v>
      </c>
      <c r="C127" s="3" t="s">
        <v>4</v>
      </c>
      <c r="D127" s="3" t="s">
        <v>363</v>
      </c>
      <c r="E127" s="3">
        <f t="shared" si="1"/>
        <v>16</v>
      </c>
      <c r="F127" s="13"/>
      <c r="G127" s="13">
        <v>1</v>
      </c>
      <c r="H127" s="13"/>
      <c r="I127" s="13"/>
      <c r="J127" s="13"/>
      <c r="K127" s="13"/>
      <c r="L127" s="13"/>
      <c r="M127" s="13"/>
    </row>
    <row r="128" spans="1:13" ht="16" customHeight="1" x14ac:dyDescent="0.2">
      <c r="A128" s="2" t="s">
        <v>364</v>
      </c>
      <c r="B128" s="3" t="s">
        <v>365</v>
      </c>
      <c r="C128" s="3" t="s">
        <v>20</v>
      </c>
      <c r="D128" s="3" t="s">
        <v>366</v>
      </c>
      <c r="E128" s="3">
        <f t="shared" si="1"/>
        <v>2</v>
      </c>
      <c r="F128" s="13"/>
      <c r="G128" s="13"/>
      <c r="H128" s="13"/>
      <c r="I128" s="13"/>
      <c r="J128" s="13"/>
      <c r="K128" s="13"/>
      <c r="L128" s="13"/>
      <c r="M128" s="13"/>
    </row>
    <row r="129" spans="1:13" ht="16" customHeight="1" x14ac:dyDescent="0.2">
      <c r="A129" s="2" t="s">
        <v>367</v>
      </c>
      <c r="B129" s="3" t="s">
        <v>368</v>
      </c>
      <c r="C129" s="3" t="s">
        <v>4</v>
      </c>
      <c r="D129" s="3" t="s">
        <v>369</v>
      </c>
      <c r="E129" s="3">
        <f t="shared" si="1"/>
        <v>27</v>
      </c>
      <c r="F129" s="13"/>
      <c r="G129" s="13"/>
      <c r="H129" s="13"/>
      <c r="I129" s="13"/>
      <c r="J129" s="13"/>
      <c r="K129" s="13"/>
      <c r="L129" s="13">
        <v>1</v>
      </c>
      <c r="M129" s="13"/>
    </row>
    <row r="130" spans="1:13" ht="16" customHeight="1" x14ac:dyDescent="0.2">
      <c r="A130" s="2" t="s">
        <v>370</v>
      </c>
      <c r="B130" s="3" t="s">
        <v>371</v>
      </c>
      <c r="C130" s="3" t="s">
        <v>372</v>
      </c>
      <c r="D130" s="3" t="s">
        <v>373</v>
      </c>
      <c r="E130" s="3">
        <f t="shared" si="1"/>
        <v>6</v>
      </c>
      <c r="F130" s="13"/>
      <c r="G130" s="13"/>
      <c r="H130" s="13"/>
      <c r="I130" s="13"/>
      <c r="J130" s="13"/>
      <c r="K130" s="13"/>
      <c r="L130" s="13"/>
      <c r="M130" s="13"/>
    </row>
    <row r="131" spans="1:13" ht="16" customHeight="1" x14ac:dyDescent="0.2">
      <c r="A131" s="2" t="s">
        <v>374</v>
      </c>
      <c r="B131" s="3" t="s">
        <v>375</v>
      </c>
      <c r="C131" s="3" t="s">
        <v>4</v>
      </c>
      <c r="D131" s="3" t="s">
        <v>376</v>
      </c>
      <c r="E131" s="3">
        <f t="shared" si="1"/>
        <v>9</v>
      </c>
      <c r="F131" s="13">
        <v>1</v>
      </c>
      <c r="G131" s="13"/>
      <c r="H131" s="13"/>
      <c r="I131" s="13"/>
      <c r="J131" s="13"/>
      <c r="K131" s="13"/>
      <c r="L131" s="13"/>
      <c r="M131" s="13"/>
    </row>
    <row r="132" spans="1:13" ht="16" customHeight="1" x14ac:dyDescent="0.2">
      <c r="A132" s="2" t="s">
        <v>377</v>
      </c>
      <c r="B132" s="3" t="s">
        <v>378</v>
      </c>
      <c r="C132" s="3" t="s">
        <v>372</v>
      </c>
      <c r="D132" s="3" t="s">
        <v>379</v>
      </c>
      <c r="E132" s="3">
        <f t="shared" ref="E132:E177" si="2">LEN(D132)-LEN(SUBSTITUTE(D132," ",""))+1</f>
        <v>4</v>
      </c>
      <c r="F132" s="13"/>
      <c r="G132" s="13"/>
      <c r="H132" s="13"/>
      <c r="I132" s="13"/>
      <c r="J132" s="13"/>
      <c r="K132" s="13"/>
      <c r="L132" s="13"/>
      <c r="M132" s="13"/>
    </row>
    <row r="133" spans="1:13" ht="16" customHeight="1" x14ac:dyDescent="0.2">
      <c r="A133" s="2" t="s">
        <v>380</v>
      </c>
      <c r="B133" s="3" t="s">
        <v>381</v>
      </c>
      <c r="C133" s="3" t="s">
        <v>4</v>
      </c>
      <c r="D133" s="3" t="s">
        <v>382</v>
      </c>
      <c r="E133" s="3">
        <f t="shared" si="2"/>
        <v>7</v>
      </c>
      <c r="F133" s="13"/>
      <c r="G133" s="13"/>
      <c r="H133" s="13"/>
      <c r="I133" s="13"/>
      <c r="J133" s="13">
        <v>1</v>
      </c>
      <c r="K133" s="13"/>
      <c r="L133" s="13"/>
      <c r="M133" s="13"/>
    </row>
    <row r="134" spans="1:13" ht="16" customHeight="1" x14ac:dyDescent="0.2">
      <c r="A134" s="2" t="s">
        <v>383</v>
      </c>
      <c r="B134" s="3" t="s">
        <v>384</v>
      </c>
      <c r="C134" s="3" t="s">
        <v>385</v>
      </c>
      <c r="D134" s="3" t="s">
        <v>386</v>
      </c>
      <c r="E134" s="3">
        <f t="shared" si="2"/>
        <v>1</v>
      </c>
      <c r="F134" s="13"/>
      <c r="G134" s="13"/>
      <c r="H134" s="13"/>
      <c r="I134" s="13"/>
      <c r="J134" s="13"/>
      <c r="K134" s="13"/>
      <c r="L134" s="13"/>
      <c r="M134" s="13"/>
    </row>
    <row r="135" spans="1:13" ht="16" customHeight="1" x14ac:dyDescent="0.2">
      <c r="A135" s="2" t="s">
        <v>387</v>
      </c>
      <c r="B135" s="3" t="s">
        <v>388</v>
      </c>
      <c r="C135" s="3" t="s">
        <v>4</v>
      </c>
      <c r="D135" s="3" t="s">
        <v>389</v>
      </c>
      <c r="E135" s="3">
        <f t="shared" si="2"/>
        <v>3</v>
      </c>
      <c r="F135" s="13">
        <v>1</v>
      </c>
      <c r="G135" s="13"/>
      <c r="H135" s="13"/>
      <c r="I135" s="13"/>
      <c r="J135" s="13"/>
      <c r="K135" s="13"/>
      <c r="L135" s="13"/>
      <c r="M135" s="13"/>
    </row>
    <row r="136" spans="1:13" ht="16" customHeight="1" x14ac:dyDescent="0.2">
      <c r="A136" s="2" t="s">
        <v>390</v>
      </c>
      <c r="B136" s="3" t="s">
        <v>391</v>
      </c>
      <c r="C136" s="3" t="s">
        <v>385</v>
      </c>
      <c r="D136" s="3" t="s">
        <v>392</v>
      </c>
      <c r="E136" s="3">
        <f t="shared" si="2"/>
        <v>5</v>
      </c>
      <c r="F136" s="13"/>
      <c r="G136" s="13"/>
      <c r="H136" s="13"/>
      <c r="I136" s="13"/>
      <c r="J136" s="13"/>
      <c r="K136" s="13"/>
      <c r="L136" s="13"/>
      <c r="M136" s="13"/>
    </row>
    <row r="137" spans="1:13" ht="16" customHeight="1" x14ac:dyDescent="0.2">
      <c r="A137" s="2" t="s">
        <v>393</v>
      </c>
      <c r="B137" s="3" t="s">
        <v>394</v>
      </c>
      <c r="C137" s="3" t="s">
        <v>4</v>
      </c>
      <c r="D137" s="3" t="s">
        <v>395</v>
      </c>
      <c r="E137" s="3">
        <f t="shared" si="2"/>
        <v>31</v>
      </c>
      <c r="F137" s="13"/>
      <c r="G137" s="13"/>
      <c r="H137" s="13"/>
      <c r="I137" s="13"/>
      <c r="J137" s="13"/>
      <c r="K137" s="13"/>
      <c r="L137" s="13"/>
      <c r="M137" s="13"/>
    </row>
    <row r="138" spans="1:13" ht="16" customHeight="1" x14ac:dyDescent="0.2">
      <c r="A138" s="2" t="s">
        <v>396</v>
      </c>
      <c r="B138" s="3" t="s">
        <v>397</v>
      </c>
      <c r="C138" s="3" t="s">
        <v>372</v>
      </c>
      <c r="D138" s="3" t="s">
        <v>297</v>
      </c>
      <c r="E138" s="3">
        <f t="shared" si="2"/>
        <v>1</v>
      </c>
      <c r="F138" s="13"/>
      <c r="G138" s="13"/>
      <c r="H138" s="13"/>
      <c r="I138" s="13"/>
      <c r="J138" s="13"/>
      <c r="K138" s="13"/>
      <c r="L138" s="13"/>
      <c r="M138" s="13"/>
    </row>
    <row r="139" spans="1:13" ht="16" customHeight="1" x14ac:dyDescent="0.2">
      <c r="A139" s="2" t="s">
        <v>398</v>
      </c>
      <c r="B139" s="3" t="s">
        <v>399</v>
      </c>
      <c r="C139" s="3" t="s">
        <v>4</v>
      </c>
      <c r="D139" s="3" t="s">
        <v>540</v>
      </c>
      <c r="E139" s="3">
        <f t="shared" si="2"/>
        <v>76</v>
      </c>
      <c r="F139" s="13"/>
      <c r="G139" s="13"/>
      <c r="H139" s="13"/>
      <c r="I139" s="13"/>
      <c r="J139" s="13"/>
      <c r="K139" s="13"/>
      <c r="L139" s="13"/>
      <c r="M139" s="13"/>
    </row>
    <row r="140" spans="1:13" ht="16" customHeight="1" x14ac:dyDescent="0.2">
      <c r="A140" s="2" t="s">
        <v>400</v>
      </c>
      <c r="B140" s="3" t="s">
        <v>401</v>
      </c>
      <c r="C140" s="3" t="s">
        <v>26</v>
      </c>
      <c r="D140" s="3" t="s">
        <v>8</v>
      </c>
      <c r="E140" s="3">
        <f t="shared" si="2"/>
        <v>1</v>
      </c>
      <c r="F140" s="13"/>
      <c r="G140" s="13"/>
      <c r="H140" s="13"/>
      <c r="I140" s="13"/>
      <c r="J140" s="13"/>
      <c r="K140" s="13"/>
      <c r="L140" s="13"/>
      <c r="M140" s="13"/>
    </row>
    <row r="141" spans="1:13" ht="16" customHeight="1" x14ac:dyDescent="0.2">
      <c r="A141" s="2" t="s">
        <v>402</v>
      </c>
      <c r="B141" s="3" t="s">
        <v>403</v>
      </c>
      <c r="C141" s="3" t="s">
        <v>4</v>
      </c>
      <c r="D141" s="3" t="s">
        <v>404</v>
      </c>
      <c r="E141" s="3">
        <f t="shared" si="2"/>
        <v>5</v>
      </c>
      <c r="F141" s="13"/>
      <c r="G141" s="13"/>
      <c r="H141" s="13">
        <v>1</v>
      </c>
      <c r="I141" s="13"/>
      <c r="J141" s="13"/>
      <c r="K141" s="13"/>
      <c r="L141" s="13"/>
      <c r="M141" s="13"/>
    </row>
    <row r="142" spans="1:13" ht="16" customHeight="1" x14ac:dyDescent="0.2">
      <c r="A142" s="2" t="s">
        <v>405</v>
      </c>
      <c r="B142" s="3" t="s">
        <v>406</v>
      </c>
      <c r="C142" s="3" t="s">
        <v>26</v>
      </c>
      <c r="D142" s="3" t="s">
        <v>92</v>
      </c>
      <c r="E142" s="3">
        <f t="shared" si="2"/>
        <v>1</v>
      </c>
      <c r="F142" s="13"/>
      <c r="G142" s="13"/>
      <c r="H142" s="13"/>
      <c r="I142" s="13"/>
      <c r="J142" s="13"/>
      <c r="K142" s="13"/>
      <c r="L142" s="13"/>
      <c r="M142" s="13"/>
    </row>
    <row r="143" spans="1:13" ht="16" customHeight="1" x14ac:dyDescent="0.2">
      <c r="A143" s="2" t="s">
        <v>407</v>
      </c>
      <c r="B143" s="3" t="s">
        <v>408</v>
      </c>
      <c r="C143" s="3" t="s">
        <v>4</v>
      </c>
      <c r="D143" s="3" t="s">
        <v>409</v>
      </c>
      <c r="E143" s="3">
        <f t="shared" si="2"/>
        <v>9</v>
      </c>
      <c r="F143" s="13">
        <v>1</v>
      </c>
      <c r="G143" s="13"/>
      <c r="H143" s="13"/>
      <c r="I143" s="13"/>
      <c r="J143" s="13"/>
      <c r="K143" s="13"/>
      <c r="L143" s="13"/>
      <c r="M143" s="13"/>
    </row>
    <row r="144" spans="1:13" ht="16" customHeight="1" x14ac:dyDescent="0.2">
      <c r="A144" s="2" t="s">
        <v>410</v>
      </c>
      <c r="B144" s="3" t="s">
        <v>411</v>
      </c>
      <c r="C144" s="3" t="s">
        <v>26</v>
      </c>
      <c r="D144" s="3" t="s">
        <v>92</v>
      </c>
      <c r="E144" s="3">
        <f t="shared" si="2"/>
        <v>1</v>
      </c>
      <c r="F144" s="13"/>
      <c r="G144" s="13"/>
      <c r="H144" s="13"/>
      <c r="I144" s="13"/>
      <c r="J144" s="13"/>
      <c r="K144" s="13"/>
      <c r="L144" s="13"/>
      <c r="M144" s="13"/>
    </row>
    <row r="145" spans="1:13" ht="16" customHeight="1" x14ac:dyDescent="0.2">
      <c r="A145" s="2" t="s">
        <v>412</v>
      </c>
      <c r="B145" s="3" t="s">
        <v>413</v>
      </c>
      <c r="C145" s="3" t="s">
        <v>4</v>
      </c>
      <c r="D145" s="3" t="s">
        <v>414</v>
      </c>
      <c r="E145" s="3">
        <f t="shared" si="2"/>
        <v>12</v>
      </c>
      <c r="F145" s="13"/>
      <c r="G145" s="13"/>
      <c r="H145" s="13"/>
      <c r="I145" s="13"/>
      <c r="J145" s="13"/>
      <c r="K145" s="13">
        <v>1</v>
      </c>
      <c r="L145" s="13"/>
      <c r="M145" s="13"/>
    </row>
    <row r="146" spans="1:13" ht="16" customHeight="1" x14ac:dyDescent="0.2">
      <c r="A146" s="2" t="s">
        <v>415</v>
      </c>
      <c r="B146" s="3" t="s">
        <v>416</v>
      </c>
      <c r="C146" s="3" t="s">
        <v>79</v>
      </c>
      <c r="D146" s="3" t="s">
        <v>297</v>
      </c>
      <c r="E146" s="3">
        <f t="shared" si="2"/>
        <v>1</v>
      </c>
      <c r="F146" s="13"/>
      <c r="G146" s="13"/>
      <c r="H146" s="13"/>
      <c r="I146" s="13"/>
      <c r="J146" s="13"/>
      <c r="K146" s="13"/>
      <c r="L146" s="13"/>
      <c r="M146" s="13"/>
    </row>
    <row r="147" spans="1:13" ht="16" customHeight="1" x14ac:dyDescent="0.2">
      <c r="A147" s="2" t="s">
        <v>417</v>
      </c>
      <c r="B147" s="3" t="s">
        <v>418</v>
      </c>
      <c r="C147" s="3" t="s">
        <v>4</v>
      </c>
      <c r="D147" s="3" t="s">
        <v>419</v>
      </c>
      <c r="E147" s="3">
        <f t="shared" si="2"/>
        <v>10</v>
      </c>
      <c r="F147" s="13"/>
      <c r="G147" s="13"/>
      <c r="H147" s="13">
        <v>1</v>
      </c>
      <c r="I147" s="13"/>
      <c r="J147" s="13"/>
      <c r="K147" s="13"/>
      <c r="L147" s="13"/>
      <c r="M147" s="13"/>
    </row>
    <row r="148" spans="1:13" ht="16" customHeight="1" x14ac:dyDescent="0.2">
      <c r="A148" s="2" t="s">
        <v>420</v>
      </c>
      <c r="B148" s="3" t="s">
        <v>421</v>
      </c>
      <c r="C148" s="3" t="s">
        <v>79</v>
      </c>
      <c r="D148" s="3" t="s">
        <v>422</v>
      </c>
      <c r="E148" s="3">
        <f t="shared" si="2"/>
        <v>5</v>
      </c>
      <c r="F148" s="13"/>
      <c r="G148" s="13"/>
      <c r="H148" s="13"/>
      <c r="I148" s="13"/>
      <c r="J148" s="13"/>
      <c r="K148" s="13"/>
      <c r="L148" s="13"/>
      <c r="M148" s="13"/>
    </row>
    <row r="149" spans="1:13" ht="16" customHeight="1" x14ac:dyDescent="0.2">
      <c r="A149" s="2" t="s">
        <v>423</v>
      </c>
      <c r="B149" s="3" t="s">
        <v>424</v>
      </c>
      <c r="C149" s="3" t="s">
        <v>4</v>
      </c>
      <c r="D149" s="3" t="s">
        <v>425</v>
      </c>
      <c r="E149" s="3">
        <f t="shared" si="2"/>
        <v>13</v>
      </c>
      <c r="F149" s="13">
        <v>1</v>
      </c>
      <c r="G149" s="13"/>
      <c r="H149" s="13"/>
      <c r="I149" s="13"/>
      <c r="J149" s="13"/>
      <c r="K149" s="13"/>
      <c r="L149" s="13"/>
      <c r="M149" s="13"/>
    </row>
    <row r="150" spans="1:13" ht="16" customHeight="1" x14ac:dyDescent="0.2">
      <c r="A150" s="2" t="s">
        <v>426</v>
      </c>
      <c r="B150" s="3" t="s">
        <v>427</v>
      </c>
      <c r="C150" s="3" t="s">
        <v>79</v>
      </c>
      <c r="D150" s="3" t="s">
        <v>92</v>
      </c>
      <c r="E150" s="3">
        <f t="shared" si="2"/>
        <v>1</v>
      </c>
      <c r="F150" s="13"/>
      <c r="G150" s="13"/>
      <c r="H150" s="13"/>
      <c r="I150" s="13"/>
      <c r="J150" s="13"/>
      <c r="K150" s="13"/>
      <c r="L150" s="13"/>
      <c r="M150" s="13"/>
    </row>
    <row r="151" spans="1:13" ht="16" customHeight="1" x14ac:dyDescent="0.2">
      <c r="A151" s="2" t="s">
        <v>428</v>
      </c>
      <c r="B151" s="3" t="s">
        <v>429</v>
      </c>
      <c r="C151" s="3" t="s">
        <v>4</v>
      </c>
      <c r="D151" s="3" t="s">
        <v>541</v>
      </c>
      <c r="E151" s="3">
        <f t="shared" si="2"/>
        <v>184</v>
      </c>
      <c r="F151" s="13"/>
      <c r="G151" s="13"/>
      <c r="H151" s="13"/>
      <c r="I151" s="13"/>
      <c r="J151" s="13"/>
      <c r="K151" s="13"/>
      <c r="L151" s="13"/>
      <c r="M151" s="13"/>
    </row>
    <row r="152" spans="1:13" ht="16" customHeight="1" x14ac:dyDescent="0.2">
      <c r="A152" s="2" t="s">
        <v>430</v>
      </c>
      <c r="B152" s="3" t="s">
        <v>431</v>
      </c>
      <c r="C152" s="3" t="s">
        <v>20</v>
      </c>
      <c r="D152" s="3" t="s">
        <v>432</v>
      </c>
      <c r="E152" s="3">
        <f t="shared" si="2"/>
        <v>2</v>
      </c>
      <c r="F152" s="13"/>
      <c r="G152" s="13"/>
      <c r="H152" s="13"/>
      <c r="I152" s="13"/>
      <c r="J152" s="13"/>
      <c r="K152" s="13"/>
      <c r="L152" s="13"/>
      <c r="M152" s="13"/>
    </row>
    <row r="153" spans="1:13" ht="16" customHeight="1" x14ac:dyDescent="0.2">
      <c r="A153" s="2" t="s">
        <v>433</v>
      </c>
      <c r="B153" s="3" t="s">
        <v>434</v>
      </c>
      <c r="C153" s="3" t="s">
        <v>4</v>
      </c>
      <c r="D153" s="3" t="s">
        <v>435</v>
      </c>
      <c r="E153" s="3">
        <f t="shared" si="2"/>
        <v>15</v>
      </c>
      <c r="F153" s="13"/>
      <c r="G153" s="13"/>
      <c r="H153" s="13">
        <v>1</v>
      </c>
      <c r="I153" s="13"/>
      <c r="J153" s="13"/>
      <c r="K153" s="13"/>
      <c r="L153" s="13"/>
      <c r="M153" s="13"/>
    </row>
    <row r="154" spans="1:13" ht="16" customHeight="1" x14ac:dyDescent="0.2">
      <c r="A154" s="2" t="s">
        <v>436</v>
      </c>
      <c r="B154" s="3" t="s">
        <v>437</v>
      </c>
      <c r="C154" s="3" t="s">
        <v>20</v>
      </c>
      <c r="D154" s="3" t="s">
        <v>438</v>
      </c>
      <c r="E154" s="3">
        <f t="shared" si="2"/>
        <v>6</v>
      </c>
      <c r="F154" s="13"/>
      <c r="G154" s="13"/>
      <c r="H154" s="13"/>
      <c r="I154" s="13"/>
      <c r="J154" s="13"/>
      <c r="K154" s="13"/>
      <c r="L154" s="13"/>
      <c r="M154" s="13"/>
    </row>
    <row r="155" spans="1:13" ht="16" customHeight="1" x14ac:dyDescent="0.2">
      <c r="A155" s="2" t="s">
        <v>439</v>
      </c>
      <c r="B155" s="3" t="s">
        <v>440</v>
      </c>
      <c r="C155" s="3" t="s">
        <v>4</v>
      </c>
      <c r="D155" s="3" t="s">
        <v>441</v>
      </c>
      <c r="E155" s="3">
        <f t="shared" si="2"/>
        <v>49</v>
      </c>
      <c r="F155" s="13"/>
      <c r="G155" s="13"/>
      <c r="H155" s="13"/>
      <c r="I155" s="13"/>
      <c r="J155" s="13"/>
      <c r="K155" s="13"/>
      <c r="L155" s="13">
        <v>1</v>
      </c>
      <c r="M155" s="13"/>
    </row>
    <row r="156" spans="1:13" ht="16" customHeight="1" x14ac:dyDescent="0.2">
      <c r="A156" s="2" t="s">
        <v>442</v>
      </c>
      <c r="B156" s="3" t="s">
        <v>443</v>
      </c>
      <c r="C156" s="3" t="s">
        <v>119</v>
      </c>
      <c r="D156" s="3" t="s">
        <v>444</v>
      </c>
      <c r="E156" s="3">
        <f t="shared" si="2"/>
        <v>5</v>
      </c>
      <c r="F156" s="13"/>
      <c r="G156" s="13"/>
      <c r="H156" s="13"/>
      <c r="I156" s="13"/>
      <c r="J156" s="13"/>
      <c r="K156" s="13"/>
      <c r="L156" s="13"/>
      <c r="M156" s="13"/>
    </row>
    <row r="157" spans="1:13" ht="16" customHeight="1" x14ac:dyDescent="0.2">
      <c r="A157" s="2" t="s">
        <v>445</v>
      </c>
      <c r="B157" s="3" t="s">
        <v>446</v>
      </c>
      <c r="C157" s="3" t="s">
        <v>4</v>
      </c>
      <c r="D157" s="3" t="s">
        <v>447</v>
      </c>
      <c r="E157" s="3">
        <f t="shared" si="2"/>
        <v>12</v>
      </c>
      <c r="F157" s="13"/>
      <c r="G157" s="13"/>
      <c r="H157" s="13">
        <v>1</v>
      </c>
      <c r="I157" s="13"/>
      <c r="J157" s="13"/>
      <c r="K157" s="13"/>
      <c r="L157" s="13"/>
      <c r="M157" s="13"/>
    </row>
    <row r="158" spans="1:13" ht="16" customHeight="1" x14ac:dyDescent="0.2">
      <c r="A158" s="2" t="s">
        <v>448</v>
      </c>
      <c r="B158" s="3" t="s">
        <v>449</v>
      </c>
      <c r="C158" s="3" t="s">
        <v>119</v>
      </c>
      <c r="D158" s="3" t="s">
        <v>450</v>
      </c>
      <c r="E158" s="3">
        <f t="shared" si="2"/>
        <v>6</v>
      </c>
      <c r="F158" s="13"/>
      <c r="G158" s="13"/>
      <c r="H158" s="13"/>
      <c r="I158" s="13"/>
      <c r="J158" s="13"/>
      <c r="K158" s="13"/>
      <c r="L158" s="13"/>
      <c r="M158" s="13"/>
    </row>
    <row r="159" spans="1:13" ht="16" customHeight="1" x14ac:dyDescent="0.2">
      <c r="A159" s="2" t="s">
        <v>451</v>
      </c>
      <c r="B159" s="3" t="s">
        <v>452</v>
      </c>
      <c r="C159" s="3" t="s">
        <v>4</v>
      </c>
      <c r="D159" s="3" t="s">
        <v>542</v>
      </c>
      <c r="E159" s="3">
        <f t="shared" si="2"/>
        <v>90</v>
      </c>
      <c r="F159" s="13"/>
      <c r="G159" s="13"/>
      <c r="H159" s="13"/>
      <c r="I159" s="13"/>
      <c r="J159" s="13"/>
      <c r="K159" s="13"/>
      <c r="L159" s="13"/>
      <c r="M159" s="13"/>
    </row>
    <row r="160" spans="1:13" ht="16" customHeight="1" x14ac:dyDescent="0.2">
      <c r="A160" s="2" t="s">
        <v>453</v>
      </c>
      <c r="B160" s="3" t="s">
        <v>454</v>
      </c>
      <c r="C160" s="3" t="s">
        <v>54</v>
      </c>
      <c r="D160" s="3" t="s">
        <v>455</v>
      </c>
      <c r="E160" s="3">
        <f t="shared" si="2"/>
        <v>6</v>
      </c>
      <c r="F160" s="13"/>
      <c r="G160" s="13"/>
      <c r="H160" s="13"/>
      <c r="I160" s="13"/>
      <c r="J160" s="13"/>
      <c r="K160" s="13"/>
      <c r="L160" s="13"/>
      <c r="M160" s="13"/>
    </row>
    <row r="161" spans="1:13" ht="16" customHeight="1" x14ac:dyDescent="0.2">
      <c r="A161" s="2" t="s">
        <v>456</v>
      </c>
      <c r="B161" s="3" t="s">
        <v>457</v>
      </c>
      <c r="C161" s="3" t="s">
        <v>4</v>
      </c>
      <c r="D161" s="3" t="s">
        <v>458</v>
      </c>
      <c r="E161" s="3">
        <f t="shared" si="2"/>
        <v>112</v>
      </c>
      <c r="F161" s="13"/>
      <c r="G161" s="13"/>
      <c r="H161" s="13"/>
      <c r="I161" s="13"/>
      <c r="J161" s="13"/>
      <c r="K161" s="13"/>
      <c r="L161" s="13"/>
      <c r="M161" s="13"/>
    </row>
    <row r="162" spans="1:13" ht="16" customHeight="1" x14ac:dyDescent="0.2">
      <c r="A162" s="2" t="s">
        <v>459</v>
      </c>
      <c r="B162" s="3" t="s">
        <v>460</v>
      </c>
      <c r="C162" s="3" t="s">
        <v>20</v>
      </c>
      <c r="D162" s="3" t="s">
        <v>461</v>
      </c>
      <c r="E162" s="3">
        <f t="shared" si="2"/>
        <v>8</v>
      </c>
      <c r="F162" s="13"/>
      <c r="G162" s="13"/>
      <c r="H162" s="13"/>
      <c r="I162" s="13"/>
      <c r="J162" s="13"/>
      <c r="K162" s="13"/>
      <c r="L162" s="13"/>
      <c r="M162" s="13"/>
    </row>
    <row r="163" spans="1:13" ht="16" customHeight="1" x14ac:dyDescent="0.2">
      <c r="A163" s="2" t="s">
        <v>462</v>
      </c>
      <c r="B163" s="3" t="s">
        <v>463</v>
      </c>
      <c r="C163" s="3" t="s">
        <v>4</v>
      </c>
      <c r="D163" s="3" t="s">
        <v>543</v>
      </c>
      <c r="E163" s="3">
        <f t="shared" si="2"/>
        <v>29</v>
      </c>
      <c r="F163" s="13"/>
      <c r="G163" s="13"/>
      <c r="H163" s="13"/>
      <c r="I163" s="13"/>
      <c r="J163" s="13"/>
      <c r="K163" s="13"/>
      <c r="L163" s="13">
        <v>1</v>
      </c>
      <c r="M163" s="13"/>
    </row>
    <row r="164" spans="1:13" ht="16" customHeight="1" x14ac:dyDescent="0.2">
      <c r="A164" s="2" t="s">
        <v>464</v>
      </c>
      <c r="B164" s="3" t="s">
        <v>465</v>
      </c>
      <c r="C164" s="3" t="s">
        <v>466</v>
      </c>
      <c r="D164" s="3" t="s">
        <v>92</v>
      </c>
      <c r="E164" s="3">
        <f t="shared" si="2"/>
        <v>1</v>
      </c>
      <c r="F164" s="13"/>
      <c r="G164" s="13"/>
      <c r="H164" s="13"/>
      <c r="I164" s="13"/>
      <c r="J164" s="13"/>
      <c r="K164" s="13"/>
      <c r="L164" s="13"/>
      <c r="M164" s="13"/>
    </row>
    <row r="165" spans="1:13" ht="16" customHeight="1" x14ac:dyDescent="0.2">
      <c r="A165" s="2" t="s">
        <v>467</v>
      </c>
      <c r="B165" s="3" t="s">
        <v>468</v>
      </c>
      <c r="C165" s="3" t="s">
        <v>4</v>
      </c>
      <c r="D165" s="3" t="s">
        <v>469</v>
      </c>
      <c r="E165" s="3">
        <f t="shared" si="2"/>
        <v>18</v>
      </c>
      <c r="F165" s="13"/>
      <c r="G165" s="13"/>
      <c r="H165" s="13">
        <v>1</v>
      </c>
      <c r="I165" s="13"/>
      <c r="J165" s="13"/>
      <c r="K165" s="13"/>
      <c r="L165" s="13"/>
      <c r="M165" s="13"/>
    </row>
    <row r="166" spans="1:13" ht="16" customHeight="1" x14ac:dyDescent="0.2">
      <c r="A166" s="2" t="s">
        <v>470</v>
      </c>
      <c r="B166" s="3" t="s">
        <v>471</v>
      </c>
      <c r="C166" s="3" t="s">
        <v>466</v>
      </c>
      <c r="D166" s="3" t="s">
        <v>92</v>
      </c>
      <c r="E166" s="3">
        <f t="shared" si="2"/>
        <v>1</v>
      </c>
      <c r="F166" s="13"/>
      <c r="G166" s="13"/>
      <c r="H166" s="13"/>
      <c r="I166" s="13"/>
      <c r="J166" s="13"/>
      <c r="K166" s="13"/>
      <c r="L166" s="13"/>
      <c r="M166" s="13"/>
    </row>
    <row r="167" spans="1:13" ht="16" customHeight="1" x14ac:dyDescent="0.2">
      <c r="A167" s="2" t="s">
        <v>472</v>
      </c>
      <c r="B167" s="3" t="s">
        <v>473</v>
      </c>
      <c r="C167" s="3" t="s">
        <v>4</v>
      </c>
      <c r="D167" s="3" t="s">
        <v>544</v>
      </c>
      <c r="E167" s="3">
        <f t="shared" si="2"/>
        <v>20</v>
      </c>
      <c r="F167" s="13"/>
      <c r="G167" s="13"/>
      <c r="H167" s="13"/>
      <c r="I167" s="13"/>
      <c r="J167" s="13"/>
      <c r="K167" s="13"/>
      <c r="L167" s="13"/>
      <c r="M167" s="13"/>
    </row>
    <row r="168" spans="1:13" ht="16" customHeight="1" x14ac:dyDescent="0.2">
      <c r="A168" s="2" t="s">
        <v>474</v>
      </c>
      <c r="B168" s="3" t="s">
        <v>475</v>
      </c>
      <c r="C168" s="3" t="s">
        <v>20</v>
      </c>
      <c r="D168" s="3" t="s">
        <v>8</v>
      </c>
      <c r="E168" s="3">
        <f t="shared" si="2"/>
        <v>1</v>
      </c>
      <c r="F168" s="13"/>
      <c r="G168" s="13"/>
      <c r="H168" s="13"/>
      <c r="I168" s="13"/>
      <c r="J168" s="13"/>
      <c r="K168" s="13"/>
      <c r="L168" s="13"/>
      <c r="M168" s="13"/>
    </row>
    <row r="169" spans="1:13" ht="16" customHeight="1" x14ac:dyDescent="0.2">
      <c r="A169" s="2" t="s">
        <v>476</v>
      </c>
      <c r="B169" s="3" t="s">
        <v>477</v>
      </c>
      <c r="C169" s="3" t="s">
        <v>4</v>
      </c>
      <c r="D169" s="3" t="s">
        <v>545</v>
      </c>
      <c r="E169" s="3">
        <f t="shared" si="2"/>
        <v>95</v>
      </c>
      <c r="F169" s="13"/>
      <c r="G169" s="13"/>
      <c r="H169" s="13"/>
      <c r="I169" s="13"/>
      <c r="J169" s="13"/>
      <c r="K169" s="13"/>
      <c r="L169" s="13"/>
      <c r="M169" s="13"/>
    </row>
    <row r="170" spans="1:13" ht="16" customHeight="1" x14ac:dyDescent="0.2">
      <c r="A170" s="2" t="s">
        <v>478</v>
      </c>
      <c r="B170" s="3" t="s">
        <v>479</v>
      </c>
      <c r="C170" s="3" t="s">
        <v>183</v>
      </c>
      <c r="D170" s="3" t="s">
        <v>480</v>
      </c>
      <c r="E170" s="3">
        <f t="shared" si="2"/>
        <v>1</v>
      </c>
      <c r="F170" s="13"/>
      <c r="G170" s="13"/>
      <c r="H170" s="13"/>
      <c r="I170" s="13"/>
      <c r="J170" s="13"/>
      <c r="K170" s="13"/>
      <c r="L170" s="13"/>
      <c r="M170" s="13"/>
    </row>
    <row r="171" spans="1:13" ht="16" customHeight="1" x14ac:dyDescent="0.2">
      <c r="A171" s="2" t="s">
        <v>481</v>
      </c>
      <c r="B171" s="3" t="s">
        <v>482</v>
      </c>
      <c r="C171" s="3" t="s">
        <v>4</v>
      </c>
      <c r="D171" s="3" t="s">
        <v>546</v>
      </c>
      <c r="E171" s="3">
        <f t="shared" si="2"/>
        <v>27</v>
      </c>
      <c r="F171" s="13"/>
      <c r="G171" s="13"/>
      <c r="H171" s="13"/>
      <c r="I171" s="13">
        <v>1</v>
      </c>
      <c r="J171" s="13"/>
      <c r="K171" s="13"/>
      <c r="L171" s="13"/>
      <c r="M171" s="13"/>
    </row>
    <row r="172" spans="1:13" ht="16" customHeight="1" x14ac:dyDescent="0.2">
      <c r="A172" s="2" t="s">
        <v>483</v>
      </c>
      <c r="B172" s="3" t="s">
        <v>484</v>
      </c>
      <c r="C172" s="3" t="s">
        <v>183</v>
      </c>
      <c r="D172" s="3" t="s">
        <v>485</v>
      </c>
      <c r="E172" s="3">
        <f t="shared" si="2"/>
        <v>2</v>
      </c>
      <c r="F172" s="13"/>
      <c r="G172" s="13"/>
      <c r="H172" s="13"/>
      <c r="I172" s="13"/>
      <c r="J172" s="13"/>
      <c r="K172" s="13"/>
      <c r="L172" s="13"/>
      <c r="M172" s="13"/>
    </row>
    <row r="173" spans="1:13" ht="16" customHeight="1" x14ac:dyDescent="0.2">
      <c r="A173" s="2" t="s">
        <v>486</v>
      </c>
      <c r="B173" s="3" t="s">
        <v>487</v>
      </c>
      <c r="C173" s="3" t="s">
        <v>4</v>
      </c>
      <c r="D173" s="3" t="s">
        <v>488</v>
      </c>
      <c r="E173" s="3">
        <f t="shared" si="2"/>
        <v>28</v>
      </c>
      <c r="F173" s="13"/>
      <c r="G173" s="13"/>
      <c r="H173" s="13"/>
      <c r="I173" s="13"/>
      <c r="J173" s="13"/>
      <c r="K173" s="13"/>
      <c r="L173" s="13">
        <v>1</v>
      </c>
      <c r="M173" s="13"/>
    </row>
    <row r="174" spans="1:13" ht="16" customHeight="1" x14ac:dyDescent="0.2">
      <c r="A174" s="2" t="s">
        <v>489</v>
      </c>
      <c r="B174" s="3" t="s">
        <v>490</v>
      </c>
      <c r="C174" s="3" t="s">
        <v>491</v>
      </c>
      <c r="D174" s="3" t="s">
        <v>92</v>
      </c>
      <c r="E174" s="3">
        <f t="shared" si="2"/>
        <v>1</v>
      </c>
      <c r="F174" s="13"/>
      <c r="G174" s="13"/>
      <c r="H174" s="13"/>
      <c r="I174" s="13"/>
      <c r="J174" s="13"/>
      <c r="K174" s="13"/>
      <c r="L174" s="13"/>
      <c r="M174" s="13"/>
    </row>
    <row r="175" spans="1:13" ht="16" customHeight="1" x14ac:dyDescent="0.2">
      <c r="A175" s="2" t="s">
        <v>492</v>
      </c>
      <c r="B175" s="3" t="s">
        <v>493</v>
      </c>
      <c r="C175" s="3" t="s">
        <v>4</v>
      </c>
      <c r="D175" s="3" t="s">
        <v>494</v>
      </c>
      <c r="E175" s="3">
        <f t="shared" si="2"/>
        <v>10</v>
      </c>
      <c r="F175" s="13"/>
      <c r="G175" s="13"/>
      <c r="H175" s="13"/>
      <c r="I175" s="13"/>
      <c r="J175" s="13"/>
      <c r="K175" s="13"/>
      <c r="L175" s="13"/>
      <c r="M175" s="13"/>
    </row>
    <row r="176" spans="1:13" ht="16" customHeight="1" x14ac:dyDescent="0.2">
      <c r="A176" s="2" t="s">
        <v>495</v>
      </c>
      <c r="B176" s="3" t="s">
        <v>496</v>
      </c>
      <c r="C176" s="3" t="s">
        <v>491</v>
      </c>
      <c r="D176" s="3" t="s">
        <v>92</v>
      </c>
      <c r="E176" s="3">
        <f t="shared" si="2"/>
        <v>1</v>
      </c>
      <c r="F176" s="13"/>
      <c r="G176" s="13"/>
      <c r="H176" s="13"/>
      <c r="I176" s="13"/>
      <c r="J176" s="13"/>
      <c r="K176" s="13"/>
      <c r="L176" s="13"/>
      <c r="M176" s="13"/>
    </row>
    <row r="177" spans="1:13" ht="16" customHeight="1" x14ac:dyDescent="0.2">
      <c r="A177" s="2" t="s">
        <v>497</v>
      </c>
      <c r="B177" s="3" t="s">
        <v>498</v>
      </c>
      <c r="C177" s="3" t="s">
        <v>4</v>
      </c>
      <c r="D177" s="3" t="s">
        <v>499</v>
      </c>
      <c r="E177" s="3">
        <f t="shared" si="2"/>
        <v>894</v>
      </c>
      <c r="F177" s="13"/>
      <c r="G177" s="13"/>
      <c r="H177" s="13"/>
      <c r="I177" s="13"/>
      <c r="J177" s="13"/>
      <c r="K177" s="13"/>
      <c r="L177" s="13"/>
      <c r="M177" s="13"/>
    </row>
    <row r="178" spans="1:13" ht="14.5" customHeight="1" x14ac:dyDescent="0.2">
      <c r="A178" s="3"/>
      <c r="B178" s="3"/>
      <c r="C178" s="3"/>
      <c r="D178" s="3"/>
      <c r="E178" s="3"/>
      <c r="F178" s="13"/>
      <c r="G178" s="13"/>
      <c r="H178" s="13"/>
      <c r="I178" s="13"/>
      <c r="J178" s="13"/>
      <c r="K178" s="13"/>
      <c r="L178" s="13"/>
      <c r="M178" s="13"/>
    </row>
    <row r="179" spans="1:13" ht="14.5" customHeight="1" x14ac:dyDescent="0.2">
      <c r="A179" s="3"/>
      <c r="B179" s="3"/>
      <c r="C179" s="3"/>
      <c r="D179" s="5" t="s">
        <v>512</v>
      </c>
      <c r="E179" s="3">
        <f>SUM(E3:E178)</f>
        <v>3973</v>
      </c>
      <c r="F179" s="13">
        <f t="shared" ref="F179:M179" si="3">SUM(F3:F178)</f>
        <v>9</v>
      </c>
      <c r="G179" s="13">
        <f t="shared" si="3"/>
        <v>4</v>
      </c>
      <c r="H179" s="13">
        <f t="shared" si="3"/>
        <v>15</v>
      </c>
      <c r="I179" s="13">
        <f t="shared" si="3"/>
        <v>2</v>
      </c>
      <c r="J179" s="13">
        <f t="shared" si="3"/>
        <v>4</v>
      </c>
      <c r="K179" s="13">
        <f t="shared" si="3"/>
        <v>9</v>
      </c>
      <c r="L179" s="13">
        <f t="shared" si="3"/>
        <v>11</v>
      </c>
      <c r="M179" s="13">
        <f t="shared" si="3"/>
        <v>2</v>
      </c>
    </row>
    <row r="180" spans="1:13" ht="14.5" customHeight="1" x14ac:dyDescent="0.2">
      <c r="A180" s="3"/>
      <c r="B180" s="3"/>
      <c r="C180" s="3"/>
      <c r="D180" s="6" t="s">
        <v>513</v>
      </c>
      <c r="E180" s="3" t="s">
        <v>518</v>
      </c>
      <c r="F180" s="13"/>
      <c r="G180" s="13"/>
      <c r="H180" s="13"/>
      <c r="I180" s="13"/>
      <c r="J180" s="13"/>
      <c r="K180" s="13"/>
      <c r="L180" s="13"/>
      <c r="M180" s="13"/>
    </row>
    <row r="181" spans="1:13" ht="14.5" customHeight="1" x14ac:dyDescent="0.2">
      <c r="A181" s="3"/>
      <c r="B181" s="3"/>
      <c r="C181" s="3"/>
      <c r="D181" s="6" t="s">
        <v>514</v>
      </c>
      <c r="E181" s="3" t="s">
        <v>519</v>
      </c>
      <c r="F181" s="13"/>
      <c r="G181" s="13"/>
      <c r="H181" s="13"/>
      <c r="I181" s="13"/>
      <c r="J181" s="13"/>
      <c r="K181" s="13"/>
      <c r="L181" s="13"/>
      <c r="M181" s="13"/>
    </row>
    <row r="182" spans="1:13" ht="14.5" customHeight="1" x14ac:dyDescent="0.2">
      <c r="A182" s="3"/>
      <c r="B182" s="3"/>
      <c r="C182" s="3"/>
      <c r="D182" s="6" t="s">
        <v>515</v>
      </c>
      <c r="E182" s="3" t="s">
        <v>520</v>
      </c>
      <c r="F182" s="3"/>
      <c r="G182" s="3"/>
      <c r="H182" s="3"/>
      <c r="I182" s="3"/>
      <c r="J182" s="3"/>
      <c r="K182" s="3"/>
      <c r="L182" s="3"/>
      <c r="M182" s="3"/>
    </row>
    <row r="183" spans="1:13" ht="14.5" customHeight="1" x14ac:dyDescent="0.2">
      <c r="A183" s="3"/>
      <c r="B183" s="3"/>
      <c r="C183" s="3"/>
      <c r="D183" s="6" t="s">
        <v>516</v>
      </c>
      <c r="E183" s="3" t="s">
        <v>521</v>
      </c>
      <c r="F183" s="3"/>
      <c r="G183" s="3"/>
      <c r="H183" s="3"/>
      <c r="I183" s="3"/>
      <c r="J183" s="3"/>
      <c r="K183" s="3"/>
      <c r="L183" s="3"/>
      <c r="M183" s="3"/>
    </row>
    <row r="184" spans="1:13" ht="14.5" customHeight="1" x14ac:dyDescent="0.2">
      <c r="A184" s="3"/>
      <c r="B184" s="3"/>
      <c r="C184" s="3"/>
      <c r="D184" s="6" t="s">
        <v>517</v>
      </c>
      <c r="E184" s="3" t="s">
        <v>522</v>
      </c>
      <c r="F184" s="3"/>
      <c r="G184" s="3"/>
      <c r="H184" s="3"/>
      <c r="I184" s="3"/>
      <c r="J184" s="3"/>
      <c r="K184" s="3"/>
      <c r="L184" s="3"/>
      <c r="M184" s="3"/>
    </row>
    <row r="185" spans="1:13" ht="14.5" customHeight="1" x14ac:dyDescent="0.2">
      <c r="A185" s="3"/>
      <c r="B185" s="3"/>
      <c r="C185" s="3"/>
      <c r="D185" s="3"/>
      <c r="E185" s="3"/>
      <c r="F185" s="3"/>
      <c r="G185" s="3"/>
      <c r="H185" s="3"/>
      <c r="I185" s="3"/>
      <c r="J185" s="3"/>
      <c r="K185" s="3"/>
      <c r="L185" s="3"/>
      <c r="M185" s="3"/>
    </row>
    <row r="186" spans="1:13" ht="14.5" customHeight="1" x14ac:dyDescent="0.2">
      <c r="A186" s="3"/>
      <c r="B186" s="3"/>
      <c r="C186" s="3"/>
      <c r="D186" s="3"/>
      <c r="E186" s="3"/>
      <c r="F186" s="3"/>
      <c r="G186" s="3"/>
      <c r="H186" s="3"/>
      <c r="I186" s="3"/>
      <c r="J186" s="3"/>
      <c r="K186" s="3"/>
      <c r="L186" s="3"/>
      <c r="M186" s="3"/>
    </row>
    <row r="187" spans="1:13" ht="14.5" customHeight="1" x14ac:dyDescent="0.2">
      <c r="A187" s="3"/>
      <c r="B187" s="3"/>
      <c r="C187" s="3"/>
      <c r="D187" s="3"/>
      <c r="E187" s="3"/>
      <c r="F187" s="3"/>
      <c r="G187" s="3"/>
      <c r="H187" s="3"/>
      <c r="I187" s="3"/>
      <c r="J187" s="3"/>
      <c r="K187" s="3"/>
      <c r="L187" s="3"/>
      <c r="M187" s="3"/>
    </row>
    <row r="188" spans="1:13" ht="14.5" customHeight="1" x14ac:dyDescent="0.2">
      <c r="A188" s="3"/>
      <c r="B188" s="3"/>
      <c r="C188" s="3"/>
      <c r="D188" s="3"/>
      <c r="E188" s="3"/>
      <c r="F188" s="3"/>
      <c r="G188" s="3"/>
      <c r="H188" s="3"/>
      <c r="I188" s="3"/>
      <c r="J188" s="3"/>
      <c r="K188" s="3"/>
      <c r="L188" s="3"/>
      <c r="M188" s="3"/>
    </row>
    <row r="189" spans="1:13" ht="14.5" customHeight="1" x14ac:dyDescent="0.2">
      <c r="A189" s="3"/>
      <c r="B189" s="3"/>
      <c r="C189" s="3"/>
      <c r="D189" s="3"/>
      <c r="E189" s="3"/>
      <c r="F189" s="3"/>
      <c r="G189" s="3"/>
      <c r="H189" s="3"/>
      <c r="I189" s="3"/>
      <c r="J189" s="3"/>
      <c r="K189" s="3"/>
      <c r="L189" s="3"/>
      <c r="M189" s="3"/>
    </row>
    <row r="190" spans="1:13" ht="14.5" customHeight="1" x14ac:dyDescent="0.2">
      <c r="A190" s="3"/>
      <c r="B190" s="3"/>
      <c r="C190" s="3"/>
      <c r="D190" s="3"/>
      <c r="E190" s="3"/>
      <c r="F190" s="3"/>
      <c r="G190" s="3"/>
      <c r="H190" s="3"/>
      <c r="I190" s="3"/>
      <c r="J190" s="3"/>
      <c r="K190" s="3"/>
      <c r="L190" s="3"/>
      <c r="M190" s="3"/>
    </row>
    <row r="191" spans="1:13" ht="14.5" customHeight="1" x14ac:dyDescent="0.2">
      <c r="A191" s="3"/>
      <c r="B191" s="3"/>
      <c r="C191" s="3"/>
      <c r="D191" s="3"/>
      <c r="E191" s="3"/>
      <c r="F191" s="3"/>
      <c r="G191" s="3"/>
      <c r="H191" s="3"/>
      <c r="I191" s="3"/>
      <c r="J191" s="3"/>
      <c r="K191" s="3"/>
      <c r="L191" s="3"/>
      <c r="M191" s="3"/>
    </row>
    <row r="192" spans="1:13" ht="14.5" customHeight="1" x14ac:dyDescent="0.2">
      <c r="A192" s="3"/>
      <c r="B192" s="3"/>
      <c r="C192" s="3"/>
      <c r="D192" s="3"/>
      <c r="E192" s="3"/>
      <c r="F192" s="3"/>
      <c r="G192" s="3"/>
      <c r="H192" s="3"/>
      <c r="I192" s="3"/>
      <c r="J192" s="3"/>
      <c r="K192" s="3"/>
      <c r="L192" s="3"/>
      <c r="M192" s="3"/>
    </row>
    <row r="193" spans="1:13" ht="14.5" customHeight="1" x14ac:dyDescent="0.2">
      <c r="A193" s="3"/>
      <c r="B193" s="3"/>
      <c r="C193" s="3"/>
      <c r="D193" s="3"/>
      <c r="E193" s="3"/>
      <c r="F193" s="3"/>
      <c r="G193" s="3"/>
      <c r="H193" s="3"/>
      <c r="I193" s="3"/>
      <c r="J193" s="3"/>
      <c r="K193" s="3"/>
      <c r="L193" s="3"/>
      <c r="M193" s="3"/>
    </row>
    <row r="194" spans="1:13" ht="14.5" customHeight="1" x14ac:dyDescent="0.2">
      <c r="A194" s="3"/>
      <c r="B194" s="3"/>
      <c r="C194" s="3"/>
      <c r="D194" s="3"/>
      <c r="E194" s="3"/>
      <c r="F194" s="3"/>
      <c r="G194" s="3"/>
      <c r="H194" s="3"/>
      <c r="I194" s="3"/>
      <c r="J194" s="3"/>
      <c r="K194" s="3"/>
      <c r="L194" s="3"/>
      <c r="M194" s="3"/>
    </row>
  </sheetData>
  <mergeCells count="6">
    <mergeCell ref="A1:A2"/>
    <mergeCell ref="B1:B2"/>
    <mergeCell ref="C1:C2"/>
    <mergeCell ref="D1:D2"/>
    <mergeCell ref="F1:M1"/>
    <mergeCell ref="E1:E2"/>
  </mergeCells>
  <phoneticPr fontId="3" type="noConversion"/>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SubtitleContentTmpl-72724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susan zhou</cp:lastModifiedBy>
  <dcterms:created xsi:type="dcterms:W3CDTF">2026-05-06T11:27:23Z</dcterms:created>
  <dcterms:modified xsi:type="dcterms:W3CDTF">2026-05-09T12:25:37Z</dcterms:modified>
</cp:coreProperties>
</file>