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3"/>
  <workbookPr defaultThemeVersion="202300"/>
  <mc:AlternateContent xmlns:mc="http://schemas.openxmlformats.org/markup-compatibility/2006">
    <mc:Choice Requires="x15">
      <x15ac:absPath xmlns:x15ac="http://schemas.microsoft.com/office/spreadsheetml/2010/11/ac" url="https://d.docs.live.net/529a137f6cc16f6a/课内相关/京师人/学业/各种项目/2026上半年陶瓷/ChenGaowei/4.25编码任务/"/>
    </mc:Choice>
  </mc:AlternateContent>
  <xr:revisionPtr revIDLastSave="5" documentId="8_{BB616F0A-8831-F64F-BEC1-FB48AAD10660}" xr6:coauthVersionLast="47" xr6:coauthVersionMax="47" xr10:uidLastSave="{8D603205-9F83-344E-8417-14FA8B72EE1A}"/>
  <bookViews>
    <workbookView xWindow="4440" yWindow="760" windowWidth="24960" windowHeight="16420" xr2:uid="{00000000-000D-0000-FFFF-FFFF00000000}"/>
  </bookViews>
  <sheets>
    <sheet name="SubtitleContentTmpl-72724"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7" i="1" l="1"/>
  <c r="G67" i="1"/>
  <c r="H67" i="1"/>
  <c r="I67" i="1"/>
  <c r="J67" i="1"/>
  <c r="K67" i="1"/>
  <c r="L67" i="1"/>
  <c r="M67" i="1"/>
  <c r="E72" i="1"/>
  <c r="E71"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3" i="1"/>
  <c r="E68" i="1" l="1"/>
  <c r="E67" i="1"/>
  <c r="E69" i="1" l="1"/>
</calcChain>
</file>

<file path=xl/sharedStrings.xml><?xml version="1.0" encoding="utf-8"?>
<sst xmlns="http://schemas.openxmlformats.org/spreadsheetml/2006/main" count="272" uniqueCount="208">
  <si>
    <t>1</t>
  </si>
  <si>
    <t>teacher</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</si>
  <si>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</si>
  <si>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</si>
  <si>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</si>
  <si>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</si>
  <si>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</si>
  <si>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</si>
  <si>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</si>
  <si>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</si>
  <si>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</si>
  <si>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</si>
  <si>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</si>
  <si>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</si>
  <si>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</si>
  <si>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</si>
  <si>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</si>
  <si>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</si>
  <si>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</si>
  <si>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</si>
  <si>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</si>
  <si>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</si>
  <si>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</si>
  <si>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</si>
  <si>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</si>
  <si>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</si>
  <si>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</si>
  <si>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</si>
  <si>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(inaudible)</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</si>
  <si>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</si>
  <si>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</si>
  <si>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</si>
  <si>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</si>
  <si>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</si>
  <si>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</si>
  <si>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</si>
  <si>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</si>
  <si>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</si>
  <si>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</si>
  <si>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</si>
  <si>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</si>
  <si>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</si>
  <si>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</si>
  <si>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</si>
  <si>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</si>
  <si>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</si>
  <si>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</si>
  <si>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</si>
  <si>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</si>
  <si>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</si>
  <si>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</si>
  <si>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</si>
  <si>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</si>
  <si>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</si>
  <si>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</si>
  <si>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</si>
  <si>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</si>
  <si>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</si>
  <si>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</si>
  <si>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</si>
  <si>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</si>
  <si>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</si>
  <si>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</si>
  <si>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Student A</t>
  </si>
  <si>
    <t>Student B</t>
  </si>
  <si>
    <t>Student C</t>
  </si>
  <si>
    <t>Student D</t>
  </si>
  <si>
    <t>62</t>
  </si>
  <si>
    <t>63</t>
  </si>
  <si>
    <t>00:00-00:36</t>
  </si>
  <si>
    <t>00:36-00:40</t>
  </si>
  <si>
    <t>Sohpie</t>
  </si>
  <si>
    <t>makeup</t>
  </si>
  <si>
    <t>Students</t>
  </si>
  <si>
    <t>01:20-01:21</t>
  </si>
  <si>
    <t>00:40-01:19</t>
  </si>
  <si>
    <t>01:21-03:15</t>
  </si>
  <si>
    <t>03:15-03:19</t>
  </si>
  <si>
    <t>And kelvin, kelvin, why you boys wear makeup?</t>
  </si>
  <si>
    <t>03:19-03:30</t>
  </si>
  <si>
    <t>Kelvin</t>
  </si>
  <si>
    <t>03:30-03:31</t>
  </si>
  <si>
    <t xml:space="preserve">Be handsome, good, good, So, can I say, can I just say, wearing makeup, the only good thing, the only good thing about makeup is become beautiful, confident and beautiful. So if you are beautiful, you are more confident. That's why I put confidence here. But, but yes, this one, what is this? </t>
  </si>
  <si>
    <t>03:32-03:59</t>
  </si>
  <si>
    <t>04:00-04:01</t>
  </si>
  <si>
    <t>Money</t>
  </si>
  <si>
    <t>04:01-04:02</t>
  </si>
  <si>
    <t>04:02-04:03</t>
  </si>
  <si>
    <t>Power</t>
  </si>
  <si>
    <t xml:space="preserve">How about why I put this photo here? </t>
  </si>
  <si>
    <t>04:03-04:06</t>
  </si>
  <si>
    <t>04:06-04:12</t>
  </si>
  <si>
    <t>04:13-06:00</t>
  </si>
  <si>
    <t>06:00-06:01</t>
  </si>
  <si>
    <t>06:00-19:45</t>
  </si>
  <si>
    <t xml:space="preserve">The good things are that it can improve people's impression and also can attract attention.  The bad things are that the makeup can hurt your skin. Also, it's price is very expensive. And I think looking good </t>
  </si>
  <si>
    <t>Chelsea</t>
  </si>
  <si>
    <t>19:45-20:20</t>
  </si>
  <si>
    <t>20:20-20:22</t>
  </si>
  <si>
    <t>looking good is?</t>
  </si>
  <si>
    <t>looking good is help.  Because it can make one another one… otherwise will …. </t>
  </si>
  <si>
    <t>It's okay, it's okay.</t>
  </si>
  <si>
    <t>20:22-20:39</t>
  </si>
  <si>
    <t>20:39-20:41</t>
  </si>
  <si>
    <t xml:space="preserve"> It can make one in person faster than a whole body. </t>
  </si>
  <si>
    <t>20:41-20:47</t>
  </si>
  <si>
    <t>Lastly, what age should a person stop wearing makeup?</t>
  </si>
  <si>
    <t xml:space="preserve">I think it's 80 years old. </t>
  </si>
  <si>
    <t>Why?</t>
  </si>
  <si>
    <t>20:54-20:54</t>
  </si>
  <si>
    <t>Because people in that age, their body is made to</t>
  </si>
  <si>
    <t>20:47-20:51</t>
  </si>
  <si>
    <t>20:51-20:54</t>
  </si>
  <si>
    <t>20:55-21:00</t>
  </si>
  <si>
    <t>Mature</t>
  </si>
  <si>
    <t>21:00-21:01</t>
  </si>
  <si>
    <t xml:space="preserve">And mature and they have more different choice of their life and they are became adults.  </t>
  </si>
  <si>
    <t>21:01-21:20</t>
  </si>
  <si>
    <t xml:space="preserve">Okay, thank you, So, right,  take your hands off. And then, it's a better impression.  What are the pros and cons of wearing makeup? </t>
  </si>
  <si>
    <t>21:20-22:17</t>
  </si>
  <si>
    <t xml:space="preserve">The pros of wearing makeup is you can make more beautiful. Beautiful? In your neck maybe.  And make me feel good about... Make me feel good about themselves. Okay. Bad things? Make more friends and build relationships. Okay. Bad things need lots of money to buy because you can't have enough money to...  </t>
  </si>
  <si>
    <t>22:17-23:10</t>
  </si>
  <si>
    <t xml:space="preserve">So many makeup, your skin is not good. This is skin. It's not good. Because that works. Do you think makeup helps you get better opportunities in life?  </t>
  </si>
  <si>
    <t>23:10-23:25</t>
  </si>
  <si>
    <t xml:space="preserve">yes because can make a good first impression </t>
  </si>
  <si>
    <t>23:25-23:35</t>
  </si>
  <si>
    <t xml:space="preserve">so if I have a good first impression maybe for example the boss will want me to work with them </t>
  </si>
  <si>
    <t>23:35-23:42</t>
  </si>
  <si>
    <t xml:space="preserve">I think it's not important but it has a little important </t>
  </si>
  <si>
    <t>23:42-23:48</t>
  </si>
  <si>
    <t>So how is it possible?</t>
  </si>
  <si>
    <t>23:48-23:50</t>
  </si>
  <si>
    <t xml:space="preserve">yes </t>
  </si>
  <si>
    <t>23:50-23:51</t>
  </si>
  <si>
    <t xml:space="preserve">okay thank you lastly what age should a person cease to wear makeup? </t>
  </si>
  <si>
    <t>23:51-24:00</t>
  </si>
  <si>
    <t xml:space="preserve">(inaudible) </t>
  </si>
  <si>
    <t>24:00-24:13</t>
  </si>
  <si>
    <t>Yes, okay, so when you are younger, maybe you can try to ask yourself a lot of things. So maybe pick up one of them. Thank you.  Next group is either this or that</t>
  </si>
  <si>
    <t>24:13-25:06</t>
  </si>
  <si>
    <t>25:06-25:33</t>
  </si>
  <si>
    <t xml:space="preserve"> Okay  Why does makeup waste time? </t>
  </si>
  <si>
    <t>25:33-25:36</t>
  </si>
  <si>
    <t>25:36-25:40</t>
  </si>
  <si>
    <t>For example, I don't know, for the girls, how much you spend on makeup, at least, at least. If everyday need so much time, then do you feel okay to help  you get a better image?</t>
  </si>
  <si>
    <t>25:40-26:15</t>
  </si>
  <si>
    <t>Okay, number 3</t>
  </si>
  <si>
    <t>26:15-26:28</t>
  </si>
  <si>
    <t>26:28-26:30</t>
  </si>
  <si>
    <t xml:space="preserve">After 11 years old. </t>
  </si>
  <si>
    <t>26:30-26:35</t>
  </si>
  <si>
    <t>After 11 years old. Why is it 11? What's so special about 11 years old? B</t>
  </si>
  <si>
    <t>26:35-26:50</t>
  </si>
  <si>
    <t>26:50-27:30</t>
  </si>
  <si>
    <t>Ally, ally, make sure to smile to the camera</t>
  </si>
  <si>
    <t>27:30-27:50</t>
  </si>
  <si>
    <t xml:space="preserve">First of all, i think and this affect the relationship and listen, it should be taken more care about and </t>
  </si>
  <si>
    <t>Ally</t>
  </si>
  <si>
    <t>27:50-29:00</t>
  </si>
  <si>
    <t>29:00-29:10</t>
  </si>
  <si>
    <t>So if you want to be a althene, you need to take care of yourselves</t>
  </si>
  <si>
    <t>how, how, how, so when it is about form 4</t>
  </si>
  <si>
    <t>29:23-29:27</t>
  </si>
  <si>
    <t>29:10-29:23</t>
  </si>
  <si>
    <t>29:27-29:36</t>
  </si>
  <si>
    <t xml:space="preserve">It can. Okay. Beautiful or handsome. Yes. If you are beautiful or handsome, you will be confident and then popular. Popular, okay.  It's the bad thing as it will waste your time and money. </t>
  </si>
  <si>
    <t>29:36-30:20</t>
  </si>
  <si>
    <t>30:20-30:36</t>
  </si>
  <si>
    <t xml:space="preserve">Why waste time? Why? Why? Because you wake up. Because I wake up, but... So, wake up will take a lot of time. Right. Okay. Next. It's first perfume. Okay. First perfume. </t>
  </si>
  <si>
    <t>30:36-30:56</t>
  </si>
  <si>
    <t xml:space="preserve">Would you go perfume? It's not true. It can get a better job.  like fingers and enter. </t>
  </si>
  <si>
    <t>30:56-31:08</t>
  </si>
  <si>
    <t xml:space="preserve">So if you look good you can get advantage. How about doctors or lawyers or teachers? Do they have to look good? </t>
  </si>
  <si>
    <t>31:08-31:18</t>
  </si>
  <si>
    <t xml:space="preserve">Yes. </t>
  </si>
  <si>
    <t>31:18-31:20</t>
  </si>
  <si>
    <t xml:space="preserve">Number three. What age should a person start wearing makeup? </t>
  </si>
  <si>
    <t>31:20-31:26</t>
  </si>
  <si>
    <t xml:space="preserve">15 years old.  So they put attention on their face. </t>
  </si>
  <si>
    <t>31:26-31:42</t>
  </si>
  <si>
    <t>31:42-33:41</t>
  </si>
  <si>
    <t>word</t>
    <phoneticPr fontId="4" type="noConversion"/>
  </si>
  <si>
    <t>APT moves</t>
    <phoneticPr fontId="4" type="noConversion"/>
  </si>
  <si>
    <t>Say more(T3)</t>
  </si>
  <si>
    <t>Revoice(T1)</t>
  </si>
  <si>
    <t>Press for reasoning(T2)</t>
  </si>
  <si>
    <t>Challenge(T4)</t>
  </si>
  <si>
    <t>Restate(1678976054)</t>
  </si>
  <si>
    <t>Agree/Disagree(1678976089)</t>
  </si>
  <si>
    <t>Add on(1678976097)</t>
  </si>
  <si>
    <t>Explain others(T5)</t>
  </si>
  <si>
    <t>Number</t>
    <phoneticPr fontId="4" type="noConversion"/>
  </si>
  <si>
    <t>Timestamp</t>
    <phoneticPr fontId="4" type="noConversion"/>
  </si>
  <si>
    <t>Speaker</t>
    <phoneticPr fontId="4" type="noConversion"/>
  </si>
  <si>
    <t>Utterance</t>
    <phoneticPr fontId="4" type="noConversion"/>
  </si>
  <si>
    <t>sum</t>
  </si>
  <si>
    <t>Teachers' total words</t>
  </si>
  <si>
    <t>Students' total words</t>
  </si>
  <si>
    <t>Total turns</t>
  </si>
  <si>
    <t>No. of teachers' turn</t>
  </si>
  <si>
    <t>No. of students' turn</t>
  </si>
  <si>
    <t xml:space="preserve"> So what is the letter to the editor about? One thing, What is the letter to the editor about? What is that about? In that letter, what is the name of the letter? Teenagers do this thing to become...  become beautiful or handsome how? one thing sohpie yes what did they do? </t>
    <phoneticPr fontId="2" type="noConversion"/>
  </si>
  <si>
    <t xml:space="preserve">I think I hear the answer, makeup? okay so yoyo what did they do? when they want to become more beautiful or handsome? very poor, very poor  34,34 Jason, what did they do when they need to become more beautiful? I heard it, the Chinese is correct, how about English? You don't know? </t>
    <phoneticPr fontId="2" type="noConversion"/>
  </si>
  <si>
    <t>Makeup. Yes. Thank you. So, they need to do one thing called makeup.  So any one of you, anyone who are now wearing makeup, now, look at the camera and it's okay. Someone, okay? At least someone is wearing makeup at the moment. And today, as a group, I want you to discuss, you know what to discuss. Let's describe. Let's discuss. Hanson, you know what to discuss. Can I discuss with myself?  one person can I just discuss? you don't want to discuss? okay uh, harold do you know the meaning of discuss? discuss okay so if I want to discuss can I only discuss with myself? you have to discuss with your classmate which is why we are in group okay so let's take a look at this so where are you guys?  Is also man and also do make up Quite often you still remember make up is not only on your face but it can be your hair and it can be. For example man you do have a shape right so maybe it's about hair and also it's about the face and it's about accessories but you can wear rings, watches and glasses So there are four makeups, Good thing about makeup  Why do you wear makeup?  </t>
    <phoneticPr fontId="2" type="noConversion"/>
  </si>
  <si>
    <t xml:space="preserve">Need many money to buy something, buy what? Buy this right? Of course it can be cheap, it can be expensive, I think, but still, you have to use a lot of money to buy cosmetics.  Alright, All of you have one paper in the middle. There are three discussion questions. So, number one, what are the pros and cons? Do you still remember pros and cons? Good and bad. Alright? So what are the pros and cons of wearing makeup? Wear makeup, good things and bad things. Number one. Number two. Do you think looking good helps you get better opportunities?  This is not easy. Better opportunities, What does that mean? So this question opportunity. It means, for example, if you are handsome, you can find a job easily. Oh, you are handsome, I hire you. Oh, you are handsome, come to work with me. If you are not handsome, oh, I don't want to work with you.  Right, you understand? For example, you want to go to university, you go to the interview, if you are a handsome, then you can go to university. If you are not, maybe you don't. So, think about this question. Do you think looking good helps to get opportunity ? Handsome is good, okay? Number three. What age should a person start wearing makeup? </t>
    <phoneticPr fontId="2" type="noConversion"/>
  </si>
  <si>
    <t>Later, okay, don't tell me now. Discuss with your friend, okay? Do you think maybe, how are you now? Eight. Okay, maybe you think 13 years old, okay, or 18, 15 or 17, or maybe nine years old, and when you wear makeup? And then you have to tell me why, why? Okay, so now you have this paper. Can you write down your ideas when you discuss?  Okay, and then after that I will ask you to stand up and then share. Okay, so maybe one people- one person do the right thing and another person will do the share. Just so- I don't want to see one person doing everything. Okay, it's not about Adam doing everything. It's not about- I don't know. It's not about Justin doing everything. Okay? So I give you maybe 10 minutes and you start talking about how you feel about this.  Okay, three questions.  You can discuss in every language you want, but you write in English.  Impressive. Impressive.  Tell that to my idea. Right? Who is doing the writing? Who are presentation? Right. They're the same. One person. One person.  I'm sorry.  Wow!  I don’t want to be forced to move forward.  Okay.  And that is the process of the process of the time. (inaudible for 7 straight minutes)  Four days more time if you have a right leg.  You have to write it down.  Who is going to do the first? Chelsea?  So what are the good things and bad things about wearing makeup?</t>
    <phoneticPr fontId="2" type="noConversion"/>
  </si>
  <si>
    <t xml:space="preserve">Thank you very much.  You guys are very excited. So number one, who is the good and bad thing out wearer makeup? Camera, say it cannot hear. </t>
    <phoneticPr fontId="2" type="noConversion"/>
  </si>
  <si>
    <t>So if they have attention on their face, what would they do? What would they do? They want to do make-up. Thank you.  Are you guys happy? No, no, no. You're happy, right? Do you want me to show them? OK. So we do have, I don't know if you can see, OK? So we have, thank you. Oh, it's Jason. This is your drawing. I'm going to show them. This is Jason's drawing. Jason's drawing something.  Right so great we have, Why we have to wear makeup and then Yeah, basically I think makeup should be done I think it's any age is okay as long as you will give this help you to become more confident then it's okay. Do you think  Do you think men should also do makeup when they get older? Do you know that actually older men do more makeup than younger men? You know why? Older men, like 50, 60, do more makeup than 10 and 20. Yes, maybe. Yeah, so it's kind of different between younger and older generation.  like ages of cars, not talking about the trees and this thing. We may think about the generation, good, good.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</si>
</sst>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indexed="8"/>
      <name val="等线"/>
      <family val="2"/>
      <scheme val="minor"/>
    </font>
    <font>
      <sz val="11"/>
      <color rgb="FF000000"/>
      <name val="Arial"/>
      <family val="2"/>
    </font>
    <font>
      <sz val="8"/>
      <name val="等线"/>
      <family val="2"/>
      <scheme val="minor"/>
    </font>
    <font>
      <b/>
      <sz val="12"/>
      <color rgb="FF000000"/>
      <name val="Calibri"/>
      <family val="2"/>
    </font>
    <font>
      <sz val="9"/>
      <name val="等线"/>
      <family val="3"/>
      <charset val="134"/>
      <scheme val="minor"/>
    </font>
    <font>
      <b/>
      <sz val="12"/>
      <color theme="1"/>
      <name val="Calibri"/>
      <family val="2"/>
    </font>
    <font>
      <sz val="12"/>
      <color indexed="8"/>
      <name val="Helvetica"/>
      <family val="2"/>
    </font>
    <font>
      <sz val="11"/>
      <color indexed="8"/>
      <name val="Helvetica"/>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vertical="center"/>
    </xf>
    <xf numFmtId="20" fontId="0" fillId="0" borderId="0" xfId="0" applyNumberFormat="1"/>
    <xf numFmtId="0" fontId="5" fillId="0" borderId="0" xfId="0" applyFont="1"/>
    <xf numFmtId="0" fontId="6" fillId="0" borderId="0" xfId="0" applyFont="1"/>
    <xf numFmtId="0" fontId="7" fillId="0" borderId="0" xfId="0" applyFont="1"/>
    <xf numFmtId="0" fontId="5" fillId="0" borderId="0" xfId="0" applyFont="1" applyAlignment="1">
      <alignment horizontal="center"/>
    </xf>
    <xf numFmtId="0" fontId="3" fillId="0" borderId="0" xfId="0" applyFont="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
  <sheetViews>
    <sheetView tabSelected="1" zoomScale="114" zoomScaleNormal="204" workbookViewId="0">
      <pane ySplit="2" topLeftCell="A46" activePane="bottomLeft" state="frozen"/>
      <selection pane="bottomLeft" activeCell="D65" sqref="D65"/>
    </sheetView>
  </sheetViews>
  <sheetFormatPr baseColWidth="10" defaultColWidth="8.83203125" defaultRowHeight="15"/>
  <cols>
    <col min="2" max="2" width="12.1640625" customWidth="1"/>
    <col min="3" max="3" width="14.6640625" customWidth="1"/>
    <col min="4" max="4" width="34.5" customWidth="1"/>
  </cols>
  <sheetData>
    <row r="1" spans="1:13" ht="16">
      <c r="A1" s="8" t="s">
        <v>191</v>
      </c>
      <c r="B1" s="8" t="s">
        <v>192</v>
      </c>
      <c r="C1" s="8" t="s">
        <v>193</v>
      </c>
      <c r="D1" s="8" t="s">
        <v>194</v>
      </c>
      <c r="E1" s="8" t="s">
        <v>181</v>
      </c>
      <c r="F1" s="7" t="s">
        <v>182</v>
      </c>
      <c r="G1" s="7"/>
      <c r="H1" s="7"/>
      <c r="I1" s="7"/>
      <c r="J1" s="7"/>
      <c r="K1" s="7"/>
      <c r="L1" s="7"/>
      <c r="M1" s="7"/>
    </row>
    <row r="2" spans="1:13" ht="16">
      <c r="A2" s="8"/>
      <c r="B2" s="8"/>
      <c r="C2" s="8"/>
      <c r="D2" s="8"/>
      <c r="E2" s="8"/>
      <c r="F2" s="4" t="s">
        <v>183</v>
      </c>
      <c r="G2" s="4" t="s">
        <v>184</v>
      </c>
      <c r="H2" s="4" t="s">
        <v>185</v>
      </c>
      <c r="I2" s="4" t="s">
        <v>186</v>
      </c>
      <c r="J2" s="4" t="s">
        <v>187</v>
      </c>
      <c r="K2" s="4" t="s">
        <v>188</v>
      </c>
      <c r="L2" s="4" t="s">
        <v>189</v>
      </c>
      <c r="M2" s="4" t="s">
        <v>190</v>
      </c>
    </row>
    <row r="3" spans="1:13">
      <c r="A3" t="s">
        <v>0</v>
      </c>
      <c r="B3" t="s">
        <v>69</v>
      </c>
      <c r="C3" t="s">
        <v>1</v>
      </c>
      <c r="D3" s="1" t="s">
        <v>201</v>
      </c>
      <c r="E3">
        <f>LEN(D3)-LEN(SUBSTITUTE(D3," ",""))+1</f>
        <v>53</v>
      </c>
    </row>
    <row r="4" spans="1:13">
      <c r="A4" t="s">
        <v>2</v>
      </c>
      <c r="B4" t="s">
        <v>70</v>
      </c>
      <c r="C4" t="s">
        <v>71</v>
      </c>
      <c r="D4" s="1" t="s">
        <v>72</v>
      </c>
      <c r="E4">
        <f t="shared" ref="E4:E65" si="0">LEN(D4)-LEN(SUBSTITUTE(D4," ",""))+1</f>
        <v>1</v>
      </c>
    </row>
    <row r="5" spans="1:13">
      <c r="A5" t="s">
        <v>3</v>
      </c>
      <c r="B5" s="3" t="s">
        <v>75</v>
      </c>
      <c r="C5" t="s">
        <v>1</v>
      </c>
      <c r="D5" s="1" t="s">
        <v>202</v>
      </c>
      <c r="E5">
        <f t="shared" si="0"/>
        <v>54</v>
      </c>
      <c r="J5">
        <v>1</v>
      </c>
    </row>
    <row r="6" spans="1:13">
      <c r="A6" t="s">
        <v>4</v>
      </c>
      <c r="B6" t="s">
        <v>74</v>
      </c>
      <c r="C6" t="s">
        <v>73</v>
      </c>
      <c r="D6" s="2" t="s">
        <v>28</v>
      </c>
      <c r="E6">
        <f t="shared" si="0"/>
        <v>1</v>
      </c>
    </row>
    <row r="7" spans="1:13">
      <c r="A7" t="s">
        <v>5</v>
      </c>
      <c r="B7" s="3" t="s">
        <v>76</v>
      </c>
      <c r="C7" t="s">
        <v>1</v>
      </c>
      <c r="D7" s="2" t="s">
        <v>203</v>
      </c>
      <c r="E7">
        <f t="shared" si="0"/>
        <v>212</v>
      </c>
    </row>
    <row r="8" spans="1:13">
      <c r="A8" t="s">
        <v>6</v>
      </c>
      <c r="B8" t="s">
        <v>77</v>
      </c>
      <c r="C8" t="s">
        <v>73</v>
      </c>
      <c r="D8" s="2" t="s">
        <v>28</v>
      </c>
      <c r="E8">
        <f t="shared" si="0"/>
        <v>1</v>
      </c>
    </row>
    <row r="9" spans="1:13">
      <c r="A9" t="s">
        <v>7</v>
      </c>
      <c r="B9" s="3" t="s">
        <v>79</v>
      </c>
      <c r="C9" t="s">
        <v>1</v>
      </c>
      <c r="D9" s="1" t="s">
        <v>78</v>
      </c>
      <c r="E9">
        <f t="shared" si="0"/>
        <v>8</v>
      </c>
    </row>
    <row r="10" spans="1:13">
      <c r="A10" t="s">
        <v>8</v>
      </c>
      <c r="B10" s="3" t="s">
        <v>81</v>
      </c>
      <c r="C10" t="s">
        <v>80</v>
      </c>
      <c r="D10" s="1" t="s">
        <v>28</v>
      </c>
      <c r="E10">
        <f t="shared" si="0"/>
        <v>1</v>
      </c>
    </row>
    <row r="11" spans="1:13">
      <c r="A11" t="s">
        <v>9</v>
      </c>
      <c r="B11" t="s">
        <v>83</v>
      </c>
      <c r="C11" t="s">
        <v>1</v>
      </c>
      <c r="D11" s="1" t="s">
        <v>82</v>
      </c>
      <c r="E11">
        <f t="shared" si="0"/>
        <v>54</v>
      </c>
    </row>
    <row r="12" spans="1:13">
      <c r="A12" t="s">
        <v>10</v>
      </c>
      <c r="B12" t="s">
        <v>84</v>
      </c>
      <c r="C12" t="s">
        <v>63</v>
      </c>
      <c r="D12" s="1" t="s">
        <v>28</v>
      </c>
      <c r="E12">
        <f t="shared" si="0"/>
        <v>1</v>
      </c>
    </row>
    <row r="13" spans="1:13">
      <c r="A13" t="s">
        <v>11</v>
      </c>
      <c r="B13" t="s">
        <v>86</v>
      </c>
      <c r="C13" t="s">
        <v>1</v>
      </c>
      <c r="D13" s="1" t="s">
        <v>85</v>
      </c>
      <c r="E13">
        <f t="shared" si="0"/>
        <v>1</v>
      </c>
    </row>
    <row r="14" spans="1:13">
      <c r="A14" t="s">
        <v>12</v>
      </c>
      <c r="B14" t="s">
        <v>87</v>
      </c>
      <c r="C14" t="s">
        <v>63</v>
      </c>
      <c r="D14" s="1" t="s">
        <v>88</v>
      </c>
      <c r="E14">
        <f t="shared" si="0"/>
        <v>1</v>
      </c>
    </row>
    <row r="15" spans="1:13">
      <c r="A15" t="s">
        <v>13</v>
      </c>
      <c r="B15" t="s">
        <v>90</v>
      </c>
      <c r="C15" t="s">
        <v>1</v>
      </c>
      <c r="D15" s="1" t="s">
        <v>89</v>
      </c>
      <c r="E15">
        <f t="shared" si="0"/>
        <v>9</v>
      </c>
    </row>
    <row r="16" spans="1:13">
      <c r="A16" t="s">
        <v>14</v>
      </c>
      <c r="B16" t="s">
        <v>91</v>
      </c>
      <c r="C16" t="s">
        <v>73</v>
      </c>
      <c r="D16" s="1" t="s">
        <v>28</v>
      </c>
      <c r="E16">
        <f t="shared" si="0"/>
        <v>1</v>
      </c>
    </row>
    <row r="17" spans="1:8">
      <c r="A17" t="s">
        <v>15</v>
      </c>
      <c r="B17" t="s">
        <v>92</v>
      </c>
      <c r="C17" t="s">
        <v>1</v>
      </c>
      <c r="D17" s="1" t="s">
        <v>204</v>
      </c>
      <c r="E17">
        <f t="shared" si="0"/>
        <v>223</v>
      </c>
    </row>
    <row r="18" spans="1:8">
      <c r="A18" t="s">
        <v>16</v>
      </c>
      <c r="B18" t="s">
        <v>93</v>
      </c>
      <c r="C18" t="s">
        <v>64</v>
      </c>
      <c r="D18" s="1" t="s">
        <v>28</v>
      </c>
      <c r="E18">
        <f t="shared" si="0"/>
        <v>1</v>
      </c>
    </row>
    <row r="19" spans="1:8">
      <c r="A19" t="s">
        <v>17</v>
      </c>
      <c r="B19" t="s">
        <v>94</v>
      </c>
      <c r="C19" t="s">
        <v>1</v>
      </c>
      <c r="D19" s="1" t="s">
        <v>205</v>
      </c>
      <c r="E19">
        <f t="shared" si="0"/>
        <v>254</v>
      </c>
    </row>
    <row r="20" spans="1:8">
      <c r="A20" t="s">
        <v>18</v>
      </c>
      <c r="B20" t="s">
        <v>97</v>
      </c>
      <c r="C20" t="s">
        <v>96</v>
      </c>
      <c r="D20" s="1" t="s">
        <v>95</v>
      </c>
      <c r="E20">
        <f t="shared" si="0"/>
        <v>38</v>
      </c>
    </row>
    <row r="21" spans="1:8">
      <c r="A21" t="s">
        <v>19</v>
      </c>
      <c r="B21" t="s">
        <v>98</v>
      </c>
      <c r="C21" t="s">
        <v>1</v>
      </c>
      <c r="D21" s="1" t="s">
        <v>99</v>
      </c>
      <c r="E21">
        <f t="shared" si="0"/>
        <v>3</v>
      </c>
      <c r="F21">
        <v>1</v>
      </c>
    </row>
    <row r="22" spans="1:8">
      <c r="A22" t="s">
        <v>20</v>
      </c>
      <c r="B22" t="s">
        <v>102</v>
      </c>
      <c r="C22" t="s">
        <v>96</v>
      </c>
      <c r="D22" s="2" t="s">
        <v>100</v>
      </c>
      <c r="E22">
        <f t="shared" si="0"/>
        <v>14</v>
      </c>
    </row>
    <row r="23" spans="1:8">
      <c r="A23" t="s">
        <v>21</v>
      </c>
      <c r="B23" t="s">
        <v>103</v>
      </c>
      <c r="C23" t="s">
        <v>1</v>
      </c>
      <c r="D23" s="1" t="s">
        <v>101</v>
      </c>
      <c r="E23">
        <f t="shared" si="0"/>
        <v>4</v>
      </c>
    </row>
    <row r="24" spans="1:8">
      <c r="A24" t="s">
        <v>22</v>
      </c>
      <c r="B24" t="s">
        <v>105</v>
      </c>
      <c r="C24" t="s">
        <v>96</v>
      </c>
      <c r="D24" s="1" t="s">
        <v>104</v>
      </c>
      <c r="E24">
        <f t="shared" si="0"/>
        <v>12</v>
      </c>
    </row>
    <row r="25" spans="1:8">
      <c r="A25" t="s">
        <v>23</v>
      </c>
      <c r="B25" t="s">
        <v>111</v>
      </c>
      <c r="C25" s="1" t="s">
        <v>1</v>
      </c>
      <c r="D25" s="1" t="s">
        <v>106</v>
      </c>
      <c r="E25">
        <f t="shared" si="0"/>
        <v>9</v>
      </c>
    </row>
    <row r="26" spans="1:8">
      <c r="A26" t="s">
        <v>24</v>
      </c>
      <c r="B26" t="s">
        <v>112</v>
      </c>
      <c r="C26" t="s">
        <v>96</v>
      </c>
      <c r="D26" s="1" t="s">
        <v>107</v>
      </c>
      <c r="E26">
        <f t="shared" si="0"/>
        <v>7</v>
      </c>
    </row>
    <row r="27" spans="1:8">
      <c r="A27" t="s">
        <v>25</v>
      </c>
      <c r="B27" s="3" t="s">
        <v>109</v>
      </c>
      <c r="C27" s="1" t="s">
        <v>1</v>
      </c>
      <c r="D27" s="2" t="s">
        <v>108</v>
      </c>
      <c r="E27">
        <f t="shared" si="0"/>
        <v>1</v>
      </c>
      <c r="H27">
        <v>1</v>
      </c>
    </row>
    <row r="28" spans="1:8">
      <c r="A28" t="s">
        <v>26</v>
      </c>
      <c r="B28" t="s">
        <v>113</v>
      </c>
      <c r="C28" t="s">
        <v>96</v>
      </c>
      <c r="D28" s="1" t="s">
        <v>110</v>
      </c>
      <c r="E28">
        <f t="shared" si="0"/>
        <v>10</v>
      </c>
    </row>
    <row r="29" spans="1:8">
      <c r="A29" t="s">
        <v>27</v>
      </c>
      <c r="B29" t="s">
        <v>115</v>
      </c>
      <c r="C29" s="1" t="s">
        <v>1</v>
      </c>
      <c r="D29" s="1" t="s">
        <v>114</v>
      </c>
      <c r="E29">
        <f t="shared" si="0"/>
        <v>1</v>
      </c>
    </row>
    <row r="30" spans="1:8">
      <c r="A30" t="s">
        <v>29</v>
      </c>
      <c r="B30" t="s">
        <v>117</v>
      </c>
      <c r="C30" t="s">
        <v>96</v>
      </c>
      <c r="D30" s="1" t="s">
        <v>116</v>
      </c>
      <c r="E30">
        <f t="shared" si="0"/>
        <v>17</v>
      </c>
    </row>
    <row r="31" spans="1:8">
      <c r="A31" t="s">
        <v>30</v>
      </c>
      <c r="B31" t="s">
        <v>119</v>
      </c>
      <c r="C31" s="1" t="s">
        <v>1</v>
      </c>
      <c r="D31" s="1" t="s">
        <v>118</v>
      </c>
      <c r="E31">
        <f t="shared" si="0"/>
        <v>25</v>
      </c>
    </row>
    <row r="32" spans="1:8">
      <c r="A32" t="s">
        <v>31</v>
      </c>
      <c r="B32" t="s">
        <v>121</v>
      </c>
      <c r="C32" t="s">
        <v>65</v>
      </c>
      <c r="D32" s="1" t="s">
        <v>120</v>
      </c>
      <c r="E32">
        <f t="shared" si="0"/>
        <v>54</v>
      </c>
    </row>
    <row r="33" spans="1:8">
      <c r="A33" t="s">
        <v>32</v>
      </c>
      <c r="B33" t="s">
        <v>123</v>
      </c>
      <c r="C33" s="1" t="s">
        <v>1</v>
      </c>
      <c r="D33" s="1" t="s">
        <v>122</v>
      </c>
      <c r="E33">
        <f t="shared" si="0"/>
        <v>29</v>
      </c>
    </row>
    <row r="34" spans="1:8">
      <c r="A34" t="s">
        <v>33</v>
      </c>
      <c r="B34" t="s">
        <v>125</v>
      </c>
      <c r="C34" t="s">
        <v>65</v>
      </c>
      <c r="D34" s="1" t="s">
        <v>124</v>
      </c>
      <c r="E34">
        <f t="shared" si="0"/>
        <v>9</v>
      </c>
    </row>
    <row r="35" spans="1:8">
      <c r="A35" t="s">
        <v>34</v>
      </c>
      <c r="B35" t="s">
        <v>127</v>
      </c>
      <c r="C35" s="1" t="s">
        <v>1</v>
      </c>
      <c r="D35" s="1" t="s">
        <v>126</v>
      </c>
      <c r="E35">
        <f t="shared" si="0"/>
        <v>21</v>
      </c>
    </row>
    <row r="36" spans="1:8">
      <c r="A36" t="s">
        <v>35</v>
      </c>
      <c r="B36" t="s">
        <v>129</v>
      </c>
      <c r="C36" t="s">
        <v>65</v>
      </c>
      <c r="D36" s="1" t="s">
        <v>128</v>
      </c>
      <c r="E36">
        <f t="shared" si="0"/>
        <v>12</v>
      </c>
    </row>
    <row r="37" spans="1:8">
      <c r="A37" t="s">
        <v>36</v>
      </c>
      <c r="B37" t="s">
        <v>131</v>
      </c>
      <c r="C37" s="1" t="s">
        <v>1</v>
      </c>
      <c r="D37" s="1" t="s">
        <v>130</v>
      </c>
      <c r="E37">
        <f t="shared" si="0"/>
        <v>5</v>
      </c>
      <c r="F37">
        <v>1</v>
      </c>
    </row>
    <row r="38" spans="1:8">
      <c r="A38" t="s">
        <v>37</v>
      </c>
      <c r="B38" t="s">
        <v>133</v>
      </c>
      <c r="C38" t="s">
        <v>65</v>
      </c>
      <c r="D38" s="1" t="s">
        <v>132</v>
      </c>
      <c r="E38">
        <f t="shared" si="0"/>
        <v>2</v>
      </c>
    </row>
    <row r="39" spans="1:8">
      <c r="A39" t="s">
        <v>38</v>
      </c>
      <c r="B39" t="s">
        <v>135</v>
      </c>
      <c r="C39" s="1" t="s">
        <v>1</v>
      </c>
      <c r="D39" s="1" t="s">
        <v>134</v>
      </c>
      <c r="E39">
        <f t="shared" si="0"/>
        <v>14</v>
      </c>
    </row>
    <row r="40" spans="1:8">
      <c r="A40" t="s">
        <v>39</v>
      </c>
      <c r="B40" t="s">
        <v>137</v>
      </c>
      <c r="C40" t="s">
        <v>65</v>
      </c>
      <c r="D40" s="1" t="s">
        <v>136</v>
      </c>
      <c r="E40">
        <f t="shared" si="0"/>
        <v>2</v>
      </c>
    </row>
    <row r="41" spans="1:8">
      <c r="A41" t="s">
        <v>40</v>
      </c>
      <c r="B41" t="s">
        <v>139</v>
      </c>
      <c r="C41" s="1" t="s">
        <v>1</v>
      </c>
      <c r="D41" s="1" t="s">
        <v>138</v>
      </c>
      <c r="E41">
        <f t="shared" si="0"/>
        <v>34</v>
      </c>
    </row>
    <row r="42" spans="1:8">
      <c r="A42" t="s">
        <v>41</v>
      </c>
      <c r="B42" t="s">
        <v>140</v>
      </c>
      <c r="C42" t="s">
        <v>66</v>
      </c>
      <c r="D42" s="1" t="s">
        <v>28</v>
      </c>
      <c r="E42">
        <f t="shared" si="0"/>
        <v>1</v>
      </c>
    </row>
    <row r="43" spans="1:8">
      <c r="A43" t="s">
        <v>42</v>
      </c>
      <c r="B43" t="s">
        <v>142</v>
      </c>
      <c r="C43" s="1" t="s">
        <v>1</v>
      </c>
      <c r="D43" s="1" t="s">
        <v>141</v>
      </c>
      <c r="E43">
        <f t="shared" si="0"/>
        <v>7</v>
      </c>
      <c r="H43">
        <v>1</v>
      </c>
    </row>
    <row r="44" spans="1:8">
      <c r="A44" t="s">
        <v>43</v>
      </c>
      <c r="B44" t="s">
        <v>143</v>
      </c>
      <c r="C44" t="s">
        <v>66</v>
      </c>
      <c r="D44" s="2" t="s">
        <v>28</v>
      </c>
      <c r="E44">
        <f t="shared" si="0"/>
        <v>1</v>
      </c>
    </row>
    <row r="45" spans="1:8">
      <c r="A45" t="s">
        <v>44</v>
      </c>
      <c r="B45" t="s">
        <v>145</v>
      </c>
      <c r="C45" s="1" t="s">
        <v>1</v>
      </c>
      <c r="D45" s="1" t="s">
        <v>144</v>
      </c>
      <c r="E45">
        <f t="shared" si="0"/>
        <v>37</v>
      </c>
    </row>
    <row r="46" spans="1:8">
      <c r="A46" t="s">
        <v>45</v>
      </c>
      <c r="B46" t="s">
        <v>147</v>
      </c>
      <c r="C46" t="s">
        <v>66</v>
      </c>
      <c r="D46" s="1" t="s">
        <v>28</v>
      </c>
      <c r="E46">
        <f t="shared" si="0"/>
        <v>1</v>
      </c>
    </row>
    <row r="47" spans="1:8">
      <c r="A47" t="s">
        <v>46</v>
      </c>
      <c r="B47" t="s">
        <v>148</v>
      </c>
      <c r="C47" s="1" t="s">
        <v>1</v>
      </c>
      <c r="D47" s="1" t="s">
        <v>146</v>
      </c>
      <c r="E47">
        <f t="shared" si="0"/>
        <v>3</v>
      </c>
    </row>
    <row r="48" spans="1:8">
      <c r="A48" t="s">
        <v>47</v>
      </c>
      <c r="B48" t="s">
        <v>150</v>
      </c>
      <c r="C48" t="s">
        <v>66</v>
      </c>
      <c r="D48" s="1" t="s">
        <v>149</v>
      </c>
      <c r="E48">
        <f t="shared" si="0"/>
        <v>5</v>
      </c>
    </row>
    <row r="49" spans="1:8">
      <c r="A49" t="s">
        <v>48</v>
      </c>
      <c r="B49" t="s">
        <v>152</v>
      </c>
      <c r="C49" s="1" t="s">
        <v>1</v>
      </c>
      <c r="D49" s="1" t="s">
        <v>151</v>
      </c>
      <c r="E49">
        <f t="shared" si="0"/>
        <v>16</v>
      </c>
      <c r="H49">
        <v>1</v>
      </c>
    </row>
    <row r="50" spans="1:8">
      <c r="A50" t="s">
        <v>49</v>
      </c>
      <c r="B50" t="s">
        <v>153</v>
      </c>
      <c r="C50" t="s">
        <v>66</v>
      </c>
      <c r="D50" s="1" t="s">
        <v>28</v>
      </c>
      <c r="E50">
        <f t="shared" si="0"/>
        <v>1</v>
      </c>
    </row>
    <row r="51" spans="1:8">
      <c r="A51" t="s">
        <v>50</v>
      </c>
      <c r="B51" t="s">
        <v>155</v>
      </c>
      <c r="C51" s="1" t="s">
        <v>1</v>
      </c>
      <c r="D51" s="1" t="s">
        <v>154</v>
      </c>
      <c r="E51">
        <f t="shared" si="0"/>
        <v>9</v>
      </c>
    </row>
    <row r="52" spans="1:8">
      <c r="A52" t="s">
        <v>51</v>
      </c>
      <c r="B52" t="s">
        <v>158</v>
      </c>
      <c r="C52" t="s">
        <v>157</v>
      </c>
      <c r="D52" s="1" t="s">
        <v>156</v>
      </c>
      <c r="E52">
        <f t="shared" si="0"/>
        <v>21</v>
      </c>
    </row>
    <row r="53" spans="1:8">
      <c r="A53" t="s">
        <v>52</v>
      </c>
      <c r="B53" t="s">
        <v>159</v>
      </c>
      <c r="C53" s="1" t="s">
        <v>1</v>
      </c>
      <c r="D53" s="1" t="s">
        <v>160</v>
      </c>
      <c r="E53">
        <f t="shared" si="0"/>
        <v>15</v>
      </c>
    </row>
    <row r="54" spans="1:8">
      <c r="A54" t="s">
        <v>53</v>
      </c>
      <c r="B54" t="s">
        <v>163</v>
      </c>
      <c r="C54" t="s">
        <v>157</v>
      </c>
      <c r="D54" s="1" t="s">
        <v>28</v>
      </c>
      <c r="E54">
        <f t="shared" si="0"/>
        <v>1</v>
      </c>
    </row>
    <row r="55" spans="1:8">
      <c r="A55" t="s">
        <v>54</v>
      </c>
      <c r="B55" t="s">
        <v>162</v>
      </c>
      <c r="C55" s="1" t="s">
        <v>1</v>
      </c>
      <c r="D55" s="1" t="s">
        <v>161</v>
      </c>
      <c r="E55">
        <f t="shared" si="0"/>
        <v>10</v>
      </c>
    </row>
    <row r="56" spans="1:8">
      <c r="A56" t="s">
        <v>55</v>
      </c>
      <c r="B56" t="s">
        <v>164</v>
      </c>
      <c r="C56" t="s">
        <v>157</v>
      </c>
      <c r="D56" s="1" t="s">
        <v>28</v>
      </c>
      <c r="E56">
        <f t="shared" si="0"/>
        <v>1</v>
      </c>
    </row>
    <row r="57" spans="1:8">
      <c r="A57" t="s">
        <v>56</v>
      </c>
      <c r="B57" t="s">
        <v>166</v>
      </c>
      <c r="C57" s="1" t="s">
        <v>1</v>
      </c>
      <c r="D57" s="1" t="s">
        <v>206</v>
      </c>
      <c r="E57">
        <f t="shared" si="0"/>
        <v>28</v>
      </c>
    </row>
    <row r="58" spans="1:8">
      <c r="A58" t="s">
        <v>57</v>
      </c>
      <c r="B58" t="s">
        <v>167</v>
      </c>
      <c r="C58" t="s">
        <v>157</v>
      </c>
      <c r="D58" s="2" t="s">
        <v>165</v>
      </c>
      <c r="E58">
        <f t="shared" si="0"/>
        <v>35</v>
      </c>
    </row>
    <row r="59" spans="1:8">
      <c r="A59" t="s">
        <v>58</v>
      </c>
      <c r="B59" t="s">
        <v>169</v>
      </c>
      <c r="C59" s="1" t="s">
        <v>1</v>
      </c>
      <c r="D59" s="1" t="s">
        <v>168</v>
      </c>
      <c r="E59">
        <f t="shared" si="0"/>
        <v>33</v>
      </c>
      <c r="H59">
        <v>1</v>
      </c>
    </row>
    <row r="60" spans="1:8">
      <c r="A60" t="s">
        <v>59</v>
      </c>
      <c r="B60" t="s">
        <v>171</v>
      </c>
      <c r="C60" t="s">
        <v>157</v>
      </c>
      <c r="D60" s="1" t="s">
        <v>170</v>
      </c>
      <c r="E60">
        <f t="shared" si="0"/>
        <v>18</v>
      </c>
    </row>
    <row r="61" spans="1:8">
      <c r="A61" t="s">
        <v>60</v>
      </c>
      <c r="B61" t="s">
        <v>173</v>
      </c>
      <c r="C61" s="1" t="s">
        <v>1</v>
      </c>
      <c r="D61" s="1" t="s">
        <v>172</v>
      </c>
      <c r="E61">
        <f t="shared" si="0"/>
        <v>23</v>
      </c>
      <c r="F61">
        <v>1</v>
      </c>
    </row>
    <row r="62" spans="1:8">
      <c r="A62" t="s">
        <v>61</v>
      </c>
      <c r="B62" t="s">
        <v>175</v>
      </c>
      <c r="C62" t="s">
        <v>157</v>
      </c>
      <c r="D62" s="1" t="s">
        <v>174</v>
      </c>
      <c r="E62">
        <f t="shared" si="0"/>
        <v>2</v>
      </c>
    </row>
    <row r="63" spans="1:8">
      <c r="A63" t="s">
        <v>62</v>
      </c>
      <c r="B63" t="s">
        <v>177</v>
      </c>
      <c r="C63" s="1" t="s">
        <v>1</v>
      </c>
      <c r="D63" s="1" t="s">
        <v>176</v>
      </c>
      <c r="E63">
        <f t="shared" si="0"/>
        <v>11</v>
      </c>
    </row>
    <row r="64" spans="1:8">
      <c r="A64" t="s">
        <v>67</v>
      </c>
      <c r="B64" t="s">
        <v>179</v>
      </c>
      <c r="C64" t="s">
        <v>157</v>
      </c>
      <c r="D64" s="1" t="s">
        <v>178</v>
      </c>
      <c r="E64">
        <f t="shared" si="0"/>
        <v>11</v>
      </c>
    </row>
    <row r="65" spans="1:13">
      <c r="A65" t="s">
        <v>68</v>
      </c>
      <c r="B65" t="s">
        <v>180</v>
      </c>
      <c r="C65" s="1" t="s">
        <v>1</v>
      </c>
      <c r="D65" s="1" t="s">
        <v>207</v>
      </c>
      <c r="E65">
        <f t="shared" si="0"/>
        <v>197</v>
      </c>
    </row>
    <row r="66" spans="1:13">
      <c r="D66" s="1"/>
    </row>
    <row r="67" spans="1:13" ht="16">
      <c r="C67" s="1"/>
      <c r="D67" s="5" t="s">
        <v>195</v>
      </c>
      <c r="E67" s="6">
        <f>SUM(E3:E65)</f>
        <v>1686</v>
      </c>
      <c r="F67" s="6">
        <f t="shared" ref="F67:M67" si="1">SUM(F3:F65)</f>
        <v>3</v>
      </c>
      <c r="G67" s="6">
        <f t="shared" si="1"/>
        <v>0</v>
      </c>
      <c r="H67" s="6">
        <f t="shared" si="1"/>
        <v>4</v>
      </c>
      <c r="I67" s="6">
        <f t="shared" si="1"/>
        <v>0</v>
      </c>
      <c r="J67" s="6">
        <f t="shared" si="1"/>
        <v>1</v>
      </c>
      <c r="K67" s="6">
        <f t="shared" si="1"/>
        <v>0</v>
      </c>
      <c r="L67" s="6">
        <f t="shared" si="1"/>
        <v>0</v>
      </c>
      <c r="M67" s="6">
        <f t="shared" si="1"/>
        <v>0</v>
      </c>
    </row>
    <row r="68" spans="1:13">
      <c r="D68" s="6" t="s">
        <v>196</v>
      </c>
      <c r="E68" s="6">
        <f>SUMIF(C3:C65, "Teacher", E3:E65)</f>
        <v>1403</v>
      </c>
    </row>
    <row r="69" spans="1:13">
      <c r="C69" s="1"/>
      <c r="D69" s="6" t="s">
        <v>197</v>
      </c>
      <c r="E69" s="6">
        <f>E67-E68</f>
        <v>283</v>
      </c>
    </row>
    <row r="70" spans="1:13">
      <c r="D70" s="6" t="s">
        <v>198</v>
      </c>
      <c r="E70" s="6">
        <v>63</v>
      </c>
    </row>
    <row r="71" spans="1:13">
      <c r="C71" s="1"/>
      <c r="D71" s="6" t="s">
        <v>199</v>
      </c>
      <c r="E71" s="6">
        <f>COUNTIF(C3:C65, "Teacher")</f>
        <v>32</v>
      </c>
    </row>
    <row r="72" spans="1:13">
      <c r="D72" s="6" t="s">
        <v>200</v>
      </c>
      <c r="E72" s="6">
        <f>E70-E71</f>
        <v>31</v>
      </c>
    </row>
  </sheetData>
  <mergeCells count="6">
    <mergeCell ref="F1:M1"/>
    <mergeCell ref="A1:A2"/>
    <mergeCell ref="B1:B2"/>
    <mergeCell ref="C1:C2"/>
    <mergeCell ref="D1:D2"/>
    <mergeCell ref="E1:E2"/>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SubtitleContentTmpl-72724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susan zhou</cp:lastModifiedBy>
  <dcterms:created xsi:type="dcterms:W3CDTF">2026-03-17T09:34:58Z</dcterms:created>
  <dcterms:modified xsi:type="dcterms:W3CDTF">2026-05-05T06:15:44Z</dcterms:modified>
</cp:coreProperties>
</file>