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Users/turtle/课内相关/京师人/学业/各种项目/2026上半年陶瓷/ChenGaowei/4.14编码任务/"/>
    </mc:Choice>
  </mc:AlternateContent>
  <xr:revisionPtr revIDLastSave="0" documentId="13_ncr:1_{437606BD-2060-5E46-8C18-3BB1784514B0}" xr6:coauthVersionLast="47" xr6:coauthVersionMax="47" xr10:uidLastSave="{00000000-0000-0000-0000-000000000000}"/>
  <bookViews>
    <workbookView xWindow="-51200" yWindow="-2460" windowWidth="51200" windowHeight="28800" xr2:uid="{FE27B7E1-C15C-44F2-BCCB-573AD6FF1B9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1" i="1" l="1"/>
  <c r="G101" i="1"/>
  <c r="H101" i="1"/>
  <c r="I101" i="1"/>
  <c r="J101" i="1"/>
  <c r="K101" i="1"/>
  <c r="L101" i="1"/>
  <c r="M101" i="1"/>
  <c r="E106" i="1"/>
  <c r="E105" i="1"/>
  <c r="E99"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 i="1"/>
  <c r="E5" i="1"/>
  <c r="E6" i="1"/>
  <c r="E3" i="1"/>
  <c r="E102" i="1" l="1"/>
  <c r="E101" i="1"/>
  <c r="E103" i="1" l="1"/>
</calcChain>
</file>

<file path=xl/sharedStrings.xml><?xml version="1.0" encoding="utf-8"?>
<sst xmlns="http://schemas.openxmlformats.org/spreadsheetml/2006/main" count="311" uniqueCount="217">
  <si>
    <t>Number</t>
  </si>
  <si>
    <t>Time</t>
  </si>
  <si>
    <t>Speaker</t>
  </si>
  <si>
    <t>Utterance</t>
  </si>
  <si>
    <t>Teacher</t>
  </si>
  <si>
    <t>00:54-00:58</t>
  </si>
  <si>
    <t xml:space="preserve">Student 1 </t>
  </si>
  <si>
    <t>Maybe, glad is an adjective.</t>
  </si>
  <si>
    <t>00:59-01:04</t>
  </si>
  <si>
    <t>01:05-01:06</t>
  </si>
  <si>
    <t xml:space="preserve">Student 2 </t>
  </si>
  <si>
    <t>Funny.</t>
  </si>
  <si>
    <t>01:07-01:09</t>
  </si>
  <si>
    <t>Funny. Thank you. Yes.</t>
  </si>
  <si>
    <t>01:09-01:10</t>
  </si>
  <si>
    <t xml:space="preserve">Student 3 </t>
  </si>
  <si>
    <t>(Inaudible)</t>
  </si>
  <si>
    <t>01:10-01:11</t>
  </si>
  <si>
    <t>Sorry?</t>
  </si>
  <si>
    <t>01:11-01:12</t>
  </si>
  <si>
    <t>Student 3</t>
  </si>
  <si>
    <t>Wonderful.</t>
  </si>
  <si>
    <t>01:12-04:24</t>
  </si>
  <si>
    <t>04:24-04:25</t>
  </si>
  <si>
    <t xml:space="preserve">Student 4 </t>
  </si>
  <si>
    <t>Um-</t>
  </si>
  <si>
    <t>04:25-04:31</t>
  </si>
  <si>
    <t>Yes. A blog. Yes, thank you. A blog. So, who wrote the text? Who wrote the blog?</t>
  </si>
  <si>
    <t>04:32-04:34</t>
  </si>
  <si>
    <t xml:space="preserve">Student 5 </t>
  </si>
  <si>
    <t>04:34-04:38</t>
  </si>
  <si>
    <t xml:space="preserve">Yes, Stella. Everyone Stella. One. Two. Three. </t>
  </si>
  <si>
    <t>04:38-04:39</t>
  </si>
  <si>
    <t xml:space="preserve">Everyone </t>
  </si>
  <si>
    <t>Stella.</t>
  </si>
  <si>
    <t>04:39-04:54</t>
  </si>
  <si>
    <t>Okay. Stella wrote a blog. What is the blog about? About. Her daily. Daily. Daily life. Okay everyone daily life. One two three.</t>
  </si>
  <si>
    <t>04:54-04:56</t>
  </si>
  <si>
    <t>Everyone</t>
  </si>
  <si>
    <t>Daily life.</t>
  </si>
  <si>
    <t>04:56-08:46</t>
  </si>
  <si>
    <t>08:47-08:49</t>
  </si>
  <si>
    <t>08:49-08:58</t>
  </si>
  <si>
    <t>Okay. Okay good. A wonderful Waterworld staycation. Let's try a wonderful one. two, three.</t>
  </si>
  <si>
    <t>08:58-09:00</t>
  </si>
  <si>
    <t>09:00-09:01</t>
  </si>
  <si>
    <t>09:01-09:02</t>
  </si>
  <si>
    <t>09:03-09:04</t>
  </si>
  <si>
    <t>09:04-09:05</t>
  </si>
  <si>
    <t>09:06-09:13</t>
  </si>
  <si>
    <t>Okay. Good job. This is the title. Okay. And can you find the key word in the title? Any key words?</t>
  </si>
  <si>
    <t>09:13-09:14</t>
  </si>
  <si>
    <t xml:space="preserve">Student 6 </t>
  </si>
  <si>
    <t>09:15-09:28</t>
  </si>
  <si>
    <t>09:28-09:30</t>
  </si>
  <si>
    <t xml:space="preserve">Student 7 </t>
  </si>
  <si>
    <t>09:30-09:33</t>
  </si>
  <si>
    <t xml:space="preserve">Mum, okay that means. Whose mum, whose mum? </t>
  </si>
  <si>
    <t>09:34-09:39</t>
  </si>
  <si>
    <t>Uh. Stella…</t>
  </si>
  <si>
    <t>09:40-09:42</t>
  </si>
  <si>
    <t>Stella. Yes. Stella’s mum and who else?</t>
  </si>
  <si>
    <t>09:43-09:45</t>
  </si>
  <si>
    <t>Stella’s little sister.</t>
  </si>
  <si>
    <t>09:46-09:48</t>
  </si>
  <si>
    <t xml:space="preserve">Oh. Little sister. Can you give me her name?  </t>
  </si>
  <si>
    <t>09:49-09:50</t>
  </si>
  <si>
    <t xml:space="preserve">Student 8 </t>
  </si>
  <si>
    <t>Uh. Alexa.</t>
  </si>
  <si>
    <t>09:50-09:51</t>
  </si>
  <si>
    <t>How to spell it?</t>
  </si>
  <si>
    <t>09:52-09:53</t>
  </si>
  <si>
    <t>09:53-10:01</t>
  </si>
  <si>
    <t>Okay. Uh. Okay. Alexa. Alexa. What else? And one more. One more person here. Stella’s mum, Stella’s sister.</t>
  </si>
  <si>
    <t>10:02-10:03</t>
  </si>
  <si>
    <t xml:space="preserve">Student 9 </t>
  </si>
  <si>
    <t>Uh. Stella’s dad.</t>
  </si>
  <si>
    <t>10:04-11:59</t>
  </si>
  <si>
    <t>12:00-12:01</t>
  </si>
  <si>
    <t xml:space="preserve">Student 10 </t>
  </si>
  <si>
    <t>12:01-17:28</t>
  </si>
  <si>
    <t>17:29-17:33</t>
  </si>
  <si>
    <t xml:space="preserve">Student 11 </t>
  </si>
  <si>
    <t>She has uh…</t>
  </si>
  <si>
    <t>17:33-17:34</t>
  </si>
  <si>
    <t>Yes.</t>
  </si>
  <si>
    <t>17:34-17:35</t>
  </si>
  <si>
    <t>Sunglasses.</t>
  </si>
  <si>
    <t>17:35-18:24</t>
  </si>
  <si>
    <t>18:24-18:25</t>
  </si>
  <si>
    <t xml:space="preserve">Student 12 </t>
  </si>
  <si>
    <t>Embarrassed.</t>
  </si>
  <si>
    <t>18:25-18:53</t>
  </si>
  <si>
    <t>Okay. Yes. Thank you. Embarrassed. Stella felt embarrassed. Okay. That means. That means, that is a very, very shy. Okay, but why? Why? She felt so embarrassed, right? Okay. At first, she couldn't find it. And later on, who helped her? Who helped?</t>
  </si>
  <si>
    <t>18:54-18:55</t>
  </si>
  <si>
    <t xml:space="preserve">Student 13 </t>
  </si>
  <si>
    <t>Uh. Her little sister</t>
  </si>
  <si>
    <t>18:55-19:00</t>
  </si>
  <si>
    <t xml:space="preserve">Her little sister called?  </t>
  </si>
  <si>
    <t>19:00-19:01</t>
  </si>
  <si>
    <t>19:01-19:55</t>
  </si>
  <si>
    <t>19:56-19:57</t>
  </si>
  <si>
    <t>Frantically.</t>
  </si>
  <si>
    <t>19:57-19:58</t>
  </si>
  <si>
    <t>19:59-20:00</t>
  </si>
  <si>
    <t>20:00-22:47</t>
  </si>
  <si>
    <t>22:48-22:49</t>
  </si>
  <si>
    <t>Student 14</t>
  </si>
  <si>
    <t>22:50-22:57</t>
  </si>
  <si>
    <t>Okay, exciting. But we need to describe the feeling. Feeling. So, we need to change -ing to.</t>
  </si>
  <si>
    <t>22:57-22:58</t>
  </si>
  <si>
    <t>22:58-24:13</t>
  </si>
  <si>
    <t>24:13-24:14</t>
  </si>
  <si>
    <t>Student 15</t>
  </si>
  <si>
    <t>(inaudible)</t>
  </si>
  <si>
    <t>24:15-24:16</t>
  </si>
  <si>
    <t>24:16-24:19</t>
  </si>
  <si>
    <t>24:20-24:31</t>
  </si>
  <si>
    <t>Oh yeah. Because Alexa was feeling. Feeling ill. That means, she was sick. Sick. Okay. So, everyone, ill. One two three.</t>
  </si>
  <si>
    <t>24:31-24:32</t>
  </si>
  <si>
    <t>Ill.</t>
  </si>
  <si>
    <t>24:32-24:41</t>
  </si>
  <si>
    <t>Okay. Alexa was feeling ill, so that's why she couldn't play it. So, she felt uh. Stella felt what? Felt.</t>
  </si>
  <si>
    <t>24:41-24:42</t>
  </si>
  <si>
    <t>Disappointed.</t>
  </si>
  <si>
    <t>24:42-25:11</t>
  </si>
  <si>
    <t>So disappointed. Okay. Disappointed. That means unhappy. So, I want you to learn two words from this paragraph impatiently. So, Stella waited for the waterslide impatiently, that means she can't wait anymore. She really wants to play it impatiently. She doesn't want to wait. Okay, so everyone impatiently. One. Two. Three.</t>
  </si>
  <si>
    <t>25:12-25:14</t>
  </si>
  <si>
    <t>25:14-25:15</t>
  </si>
  <si>
    <t>25:15-25:16</t>
  </si>
  <si>
    <t>25:16-27:36</t>
  </si>
  <si>
    <t>27:36-27:37</t>
  </si>
  <si>
    <t xml:space="preserve">Student 16 </t>
  </si>
  <si>
    <t>27:37-27:46</t>
  </si>
  <si>
    <t>Anna? Alexa. Right. Okay. Alexa. So, Alexa. Alexa, dad and who?</t>
  </si>
  <si>
    <t>27:46-27:47</t>
  </si>
  <si>
    <t>Mom.</t>
  </si>
  <si>
    <t>27:47-27:48</t>
  </si>
  <si>
    <t>Huh?</t>
  </si>
  <si>
    <t>27:48-27:49</t>
  </si>
  <si>
    <t>Her. First paragraph.</t>
  </si>
  <si>
    <t>27:50-28:28</t>
  </si>
  <si>
    <t>Yes. Stella the writer. Okay. So where were they? Where were they? Waterslide. They finally went to the waterslide. So, how was their feeling? How. I mean how were their feelings? They felt. They felt incredible and excited. Please, change it, change it. Excited? Okay, so let's try. Incredible. One. Two. Three.</t>
  </si>
  <si>
    <t>28:28-28:29</t>
  </si>
  <si>
    <t>28:29-28:34</t>
  </si>
  <si>
    <t>Okay, everyone. Okay. Everyone together. Incredible. One. Two. Three.</t>
  </si>
  <si>
    <t>28:34-28:35</t>
  </si>
  <si>
    <t>28:36-28:54</t>
  </si>
  <si>
    <t>28:55-28:56</t>
  </si>
  <si>
    <t>28:56-28:57</t>
  </si>
  <si>
    <t>28:57-28:58</t>
  </si>
  <si>
    <t>28:58-30:27</t>
  </si>
  <si>
    <t>30:28-30:29</t>
  </si>
  <si>
    <t>Souvenirs.</t>
  </si>
  <si>
    <t>30:29-30:44</t>
  </si>
  <si>
    <t>Okay. So, do they. I mean, do they want to come back next time. Do they want to come back this time? Yes or no? Which one tells you? Yes.</t>
  </si>
  <si>
    <t>30:45-30:46</t>
  </si>
  <si>
    <t>30:47-31:31</t>
  </si>
  <si>
    <t>31:31-31:32</t>
  </si>
  <si>
    <t>Look forward.</t>
  </si>
  <si>
    <t>31:32-38:16</t>
  </si>
  <si>
    <t>38:16-38:17</t>
  </si>
  <si>
    <t>38:17-38:32</t>
  </si>
  <si>
    <t>38:32-38:34</t>
  </si>
  <si>
    <t>Uh. Stella’s.</t>
  </si>
  <si>
    <t>38:34-38:38</t>
  </si>
  <si>
    <t>Stella’s mom. And Stella’s sss...</t>
  </si>
  <si>
    <t>38:38-38:39</t>
  </si>
  <si>
    <t xml:space="preserve">Student 15 </t>
  </si>
  <si>
    <t>Sister.</t>
  </si>
  <si>
    <t>38:39-40:04</t>
  </si>
  <si>
    <r>
      <t xml:space="preserve">…sss little sister and Stella’s sss dad. Okay. Be careful. Ah, okay. God job, good job. Okay, so I think we </t>
    </r>
    <r>
      <rPr>
        <sz val="12"/>
        <color theme="1"/>
        <rFont val="Calibri"/>
        <family val="2"/>
      </rPr>
      <t>don't have enough time. So, maybe we stop here. Okay, good job everyone, give yourself a big hand. Okay good job. So, let's end the lesson here. Okay. Good job everyone. So, let me stop it.</t>
    </r>
  </si>
  <si>
    <t>Oh. Glad. Oh. Thank you. Glad. Okay good. It’s a feeling. What else? What else?</t>
  </si>
  <si>
    <t>Incredible.</t>
  </si>
  <si>
    <t>Excitement.</t>
  </si>
  <si>
    <t>Impatiently.</t>
  </si>
  <si>
    <t>Disappointed means unhappy. Okay. Because she couldn't play. So that means. Yes, of course, she felt unhappy. Okay, so let's go to paragraph 4. Paragraph 4. No need to jot down everything. Okay, I will jot it down later on. So, let’s go to paragraph 4. Paragraph 4. So, more simple, I mean simpler question from the last 2 paragraphs. Don't worry guys. You can handle it. So, paragraph number? I mean fourth paragraph. Fourth. So, can you find me? Okay, then let's go to the fourth paragraph fourth paragraph. Okay, so tell me, who are there, who are there. Okay. And where are they? I mean, where were they? Where were they? And how's the feeling? Okay. Find me some. Adjectives and adverbs. Okay. So, discuss with your neighbour. Okay. Exchange the ideas with your friend. Go ahead. (Music 26:40-27:00). Okay good. So, who? I mean, who? Involved. Who in the paragraph 4, Except that. Who else? Who else?</t>
  </si>
  <si>
    <t>A wonderful.</t>
  </si>
  <si>
    <t>Waterworld.</t>
  </si>
  <si>
    <t>Staycation.</t>
  </si>
  <si>
    <t>Mum.</t>
  </si>
  <si>
    <t>Stay.</t>
  </si>
  <si>
    <t>Alexa.</t>
  </si>
  <si>
    <t>Exciting.</t>
  </si>
  <si>
    <t>Excited.</t>
  </si>
  <si>
    <t>00:00-00:53</t>
  </si>
  <si>
    <t>word</t>
    <phoneticPr fontId="6" type="noConversion"/>
  </si>
  <si>
    <t>APT moves</t>
    <phoneticPr fontId="6" type="noConversion"/>
  </si>
  <si>
    <t>Say more(T3)</t>
  </si>
  <si>
    <t>Revoice(T1)</t>
  </si>
  <si>
    <t>Press for reasoning(T2)</t>
  </si>
  <si>
    <t>Challenge(T4)</t>
  </si>
  <si>
    <t>Restate(1678976054)</t>
  </si>
  <si>
    <t>Agree/Disagree(1678976089)</t>
  </si>
  <si>
    <t>Add on(1678976097)</t>
  </si>
  <si>
    <t>Explain others(T5)</t>
  </si>
  <si>
    <t>sum</t>
  </si>
  <si>
    <t>Teachers' total words</t>
  </si>
  <si>
    <t>Students' total words</t>
  </si>
  <si>
    <t>Total turns</t>
  </si>
  <si>
    <t>No. of teachers' turn</t>
  </si>
  <si>
    <t>No. of students' turn</t>
  </si>
  <si>
    <t>Okay, so please look at the board. Okay. You have three pictures here. So, I’ll give you 30s to think about what adjectives or noun. Okay. You can think of. You can exchange the idea with your friend. Okay. 30s. Go ahead. Share your idea. Share your idea. Oh, okay. Good. So. So can someone give me some adjective. Yes. Anyone wants to try yes (Inaudible 00:53)</t>
    <phoneticPr fontId="6" type="noConversion"/>
  </si>
  <si>
    <t>Wonderful. Thank you. Okay. So, what about. Have you ever think of this is, uh, start with p. Park. Okay. But is it the normal park we usually go to? Is it the park we always go to? Okay here. What are the people uh. What are people wearing? Chinese is also okay. Yes. Okay. Swimsuit. Swimsuit. Okay. They are wearing swimsuit. That means this is a water park. Water park. Do you know Ocean Park? No. Do you know Ocean Park? Yes. Okay. This is the water park in Ocean Park. Okay. So, let’s go to the text together now. Okay. So please. Okay please prepare your test 2 worksheet and the copies of test 2 essay. Okay. Okay good. So please prepare these two. Together. Okay so, let me ask you some questions. Okay. So, three questions. Okay. So… can you tell me the text type? Okay. So, please focus on focus on the instructions. The first line. Still remember every time when we are trying to find out the text type, we have to look at the first line. The instruction. Okay, so tell me, text type, who wrote the text and what is the text about? Okay. Finding it from the instruction. Okay, I'll give you 30s to think about it. Okay. You can ask or exchange your idea with your neighbours. Okay. Go ahead. Okay, good. Okay, good. So, look at the instruction first line. So, can you tell me, can someone tell me? Okay. One word from instruction. The first line. So, anyone?</t>
    <phoneticPr fontId="6" type="noConversion"/>
  </si>
  <si>
    <t>Thank you then. Okay, let's highlight all of it together now. Okay. Pick up the right pen. Let’s highlight. Okay. Please do it now. Just jot down some notes and highlights. Okay. Thank you. Okay. When you finish. When you finish. Okay. So please help me find a title. Okay, okay, okay. I see some of you are still jotting down. I'll wait for you. Okay. Okay, good. So, everyone look at the board now. Okay. I'll leave some time for you to jot it later. Okay? Look at the board everyone. Okay, so when you find this information, this this piece of information, Next part would be, I want you to stare, to see into the text and look at the text. So, can you help me find out the title title and what is the topic? I mean, what keywords, keywords in the title, finding the keyword in the title, and who? I mean who in the story. Okay. Should be three three people, three people in the story. Okay, so you have to read through some paragraphs. Okay. To find out these three people. So, 30s okay, find it with your partner. Go ahead. Okay, good. Okay. So, title first. Read the title.</t>
    <phoneticPr fontId="6" type="noConversion"/>
  </si>
  <si>
    <t>Okay. Waterworld. That means waterpark. Okay. The picture I showed you just, I mean before we read the passage the picture of Waterworld. And. And who is in the story. Can someone tell me? Yes. Okay.</t>
    <phoneticPr fontId="6" type="noConversion"/>
  </si>
  <si>
    <t xml:space="preserve">Yes, Stella’s dad. Okay then let's have it all together. Okay. Highlight all of it together. Together now. Okay. Okay. Please jot down something. When you finish look at the board okay. When you finish look at the board. Okay. I’ll still give you some time. So, um, here I want you to look at the word staycation. I want you to look at the word staycation. Staycation. Okay, so let's talk about this word together. So, can you help me find one word find one word? Okay. In staycation. Find one word. One word that you can find. Yes. </t>
    <phoneticPr fontId="6" type="noConversion"/>
  </si>
  <si>
    <t>Stay. thank you. Very quick response. Thank you. Stay. Okay, so one word, stay. Okay. If we split it. Stay in the word, we may know. Okay, then can you help me find one vocab? You have one word that is similar. They look alike. With the word cation, cation. Help me find the word similar with cation. Okay, find one word. They look similar to cation. Okay, so do it now. One word. Find one word. Looks like cation. See, some of you already found it. Good job. Okay, so anyone want to share? Yes. Anyone try? Doesn't matter if you got it wrong. Okay. Try. Yes. Okay. Yes. Yes. Vacation. Everyone! Good job. Vacation. Okay, so look here. Vacation. Okay. Actually, staycation comes from two words. Staycation comes from two words and stay and vacation. So, vacation also means holiday. Okay. Holiday. Okay. Okay. I will check on later on. That means holidays. Yes. No, I know I will edit later on. No worries. Okay, so take vacation. Vacation actually means holiday. Okay. That means you are saying you are trying to stay somewhere else. Let's say hotel. Okay. Let's say you stay. You are going to stay in a hotel and have fun. Okay? Holiday. Okay, so in this case, Stella. Okay. Went to a waterpark. That is in Ocean Park. Okay, okay. Where her mom, dad and sister. Okay. Good job everyone. So now I think we can now go to the second paragraph. Here. Okay. So. Can you help me? Okay. Several questions. Okay. Three questions. Number one, what happened? What happened to. Yes, yes. Oh, okay. Okay wait. Go back to your seat. Okay, everyone, can we think about what happened to the writer, to Stella? Okay. And what is her feeling? What was her feeling at the very beginning. Okay. Number three, who helped her out? Who helped her out? Okay. Three questions. Look at second paragraph. Go ahead. Okay. Good. So can someone tell me what happened to Stella. I think she.</t>
    <phoneticPr fontId="6" type="noConversion"/>
  </si>
  <si>
    <t>Sunglasses! Yes you have sunglasses to protect your eyes from the sun. Okay. To protect your eyes, okay, good. So, uh, Stella’s buying her sunglasses. What was her feeling at the very beginning? One adjective. Find an adjective to describe feelings. Uh. Maybe, Jayden, Jayden one, find one adjective or help her or another person. Which one? Okay. Just stay at your seat. Yes. Yes.</t>
    <phoneticPr fontId="6" type="noConversion"/>
  </si>
  <si>
    <t>Alexa. Yes. Alexa, help her out. Good job everyone. So in this paragraph. Okay, I want you to look at a several vocab number one frantically, so we don't have this word. Okay. We don't have this word actually. So just forget about it. Let's look at frantically. Okay. Frantically, so frantically means you are trying to find something in a hurry way that means you find it nervously because you can't find it. Okay, so that's why you find it frantically. Look at the text there. Frantically looking for them in my backpack. So very nervously. Okay, you won't find it out. Okay. And the second word would be embarrassed. That means shy. Okay, so let's practice together. Okay. So, frantically one two three.</t>
    <phoneticPr fontId="6" type="noConversion"/>
  </si>
  <si>
    <t>Good job. Okay, so let's. Let's go to paragraph three. Okay. We go through one by one. Okay. It doesn't matter. So, look at the board I’ll give you the question. Okay, three questions from the third paragraph. How does is the writer, feeling okay, find me one. I mean, find me one adverb I would say, adverb okay, number two, which contraction. That means which day did she want to go? Okay. Number three is did she play successfully? Did she play then? Okay, so go ahead, discuss with her neighbour. Okay. 30s. Okay. Good, good, good. So, let's find it together. Okay. First of all, how is the writer feeling like when she went to the park? One adjective and one adverb. Okay, maybe what happened was what was her feeling when she got. I mean when she got into the park. It’s what?</t>
    <phoneticPr fontId="6" type="noConversion"/>
  </si>
  <si>
    <t>Excited. Yes. Okay, good job, so the writer is found excited okay at the very beginning. Now, back to the question. Which gate? Which gate did she want to go? Waterslide, very good. Where is it? Line 11. Okay (Inaudible) waterslide. So, what is waterslide? Waterslide is this one. Waterslide. Okay. You slide from the top to the bottom. Okay. Waterslide. That is her favourite one. Okay. The last one did she successfully play? Did she play it. Did she play in the waterslide? Yes or no? Okay. You’re sure you’re sure she played it? Not really. Why why why why she can't play. Why? Some things happened. Okay. Because about her big sister. What's wrong with her sister?</t>
    <phoneticPr fontId="6" type="noConversion"/>
  </si>
  <si>
    <t>Okay, good. So, that means. Here. I want you to learn. Excitement and incredible. Okay. Same idea. Excitement. Similar to the word exciting, exciting. Right. But it’s a noun. And incredible means. Extremely good. Okay. So, read it together. Excitement.</t>
    <phoneticPr fontId="6" type="noConversion"/>
  </si>
  <si>
    <t>Good. Okay. Good job good job. So last paragraph. Same idea. Okay. Same idea. Tell me. Who involved, who in paragraph five. And yes, you can find very quickly. So, what happened? What did dad do? What did he do? Okay. Tell me, what did he do? Okay. And find me their feelings as well. What did dad do for the feelings. Okay. Look at that, too. And feelings. Okay. So, anyone got the answer? What did dad do in the paragraph five? Dad, do? What was that? Yes. Dad, give her what? Mean by what word? What word? Souvenir. Souvenir. That means gift. Okay, everyone, souvenirs.</t>
    <phoneticPr fontId="6" type="noConversion"/>
  </si>
  <si>
    <t>Which one? I can’t hear you sorry. Okay everyone. Everyone. Okay, everyone. Okay. Dad got some souvenirs for everyone. But how was their feeling. Did they want to come back? Did Dad, Stella and Alexa and mom want to come back to this waterpark? No? Look at the last sentence. Now we are told that. I am already looking forward to our next vacation. They want to come back? Yes. Look forward. Okay, so let's try. One, two. Three. Look forward.</t>
    <phoneticPr fontId="6" type="noConversion"/>
  </si>
  <si>
    <t>Okay, good. So, we end up here at the text. Okay. So now please try. Take out your test two worksheets. Okay. Take out your test two worksheets. Now please try one, two, three, four, four and six. Okay. And we end up here. Again. Okay. I will invite some of you to come up and write me some answers. When we finish up here. Okay. Okay, good. Okay, so let's check the answers together, look the board please. Look at the board. Okay. So now. Okay. This is about okay, what. Yes. Correct. Correct. I think most of you got it correct. And writer is Stella. Quite good, but I can see most of you blank, empty. Okay. No one wrote something here, so maybe we have to look at the instructions. Find the hints from the instruction. Okay, so instruction we circle three words. What are they? Tell me. Instruction. Okay that means. Okay. I can't go back because I froze it. So, take out your test two worksheet, look at the instruction. Line one. We highlight Stella did what in form and daily life. Okay, so it's about your experience of the wonderful Waterworld staycation. Okay. Okay. What kind of experience it is. It’s about her daily?</t>
    <phoneticPr fontId="6" type="noConversion"/>
  </si>
  <si>
    <t>Daily life. So please jot it down daily life. Okay. Okay. What's wrong with a Waterworld staycation? Something's weird. Some things need to be correct. What is that? Should we use capital letters? Should we? No, we can use small letters. Will be fine. Okay, small letters will be fine but good try. Staycation. Small words staycation, all small letters? Okay. Thank you. Good try. Okay. Okay. Yes. Okay. Title. Where is. Where is where? What locations? Where and Waterworld. Be careful with handwriting. Okay, I forgot about it. Be careful the handwriting, okay? Waterworld. Good job. Okay. Careful. Okay. Okay. Okay. Last one. Stella’s mom, Stella’s sister. Alexa. Stella. There. Okay. One mistake here. What’s wrong? Only Stella when we put it together. Stella’s mom. Something missing here.</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</si>
</sst>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family val="2"/>
      <scheme val="minor"/>
    </font>
    <font>
      <b/>
      <sz val="11"/>
      <color theme="1"/>
      <name val="等线"/>
      <family val="2"/>
      <scheme val="minor"/>
    </font>
    <font>
      <b/>
      <sz val="12"/>
      <color theme="1"/>
      <name val="Calibri"/>
      <family val="2"/>
    </font>
    <font>
      <sz val="12"/>
      <color rgb="FF000000"/>
      <name val="Calibri"/>
      <family val="2"/>
    </font>
    <font>
      <sz val="12"/>
      <color theme="1"/>
      <name val="Calibri"/>
      <family val="2"/>
    </font>
    <font>
      <sz val="12"/>
      <name val="Calibri"/>
      <family val="2"/>
    </font>
    <font>
      <sz val="9"/>
      <name val="等线"/>
      <family val="3"/>
      <charset val="134"/>
      <scheme val="minor"/>
    </font>
    <font>
      <b/>
      <sz val="12"/>
      <color rgb="FF000000"/>
      <name val="Calibri"/>
      <family val="2"/>
    </font>
    <font>
      <sz val="12"/>
      <color indexed="8"/>
      <name val="Helvetica"/>
      <family val="2"/>
    </font>
    <font>
      <sz val="11"/>
      <color indexed="8"/>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0" fillId="0" borderId="0" xfId="0" applyAlignment="1">
      <alignment horizontal="center"/>
    </xf>
    <xf numFmtId="0" fontId="3" fillId="0" borderId="0" xfId="0" applyFont="1" applyAlignment="1">
      <alignment horizontal="left" vertical="center"/>
    </xf>
    <xf numFmtId="0" fontId="3" fillId="0" borderId="0" xfId="0" applyFont="1" applyAlignment="1">
      <alignment horizontal="justify" vertical="center"/>
    </xf>
    <xf numFmtId="0" fontId="3" fillId="0" borderId="0" xfId="0" applyFont="1" applyAlignment="1">
      <alignment horizontal="left"/>
    </xf>
    <xf numFmtId="0" fontId="5" fillId="0" borderId="0" xfId="0" applyFont="1" applyAlignment="1">
      <alignment horizontal="left" vertical="center"/>
    </xf>
    <xf numFmtId="0" fontId="0" fillId="0" borderId="0" xfId="0" applyAlignment="1">
      <alignment horizontal="left"/>
    </xf>
    <xf numFmtId="0" fontId="2" fillId="0" borderId="0" xfId="0" applyFont="1" applyAlignment="1">
      <alignment horizontal="center"/>
    </xf>
    <xf numFmtId="0" fontId="2" fillId="0" borderId="0" xfId="0" applyFont="1" applyAlignment="1">
      <alignment horizontal="center" vertical="center"/>
    </xf>
    <xf numFmtId="0" fontId="1" fillId="0" borderId="0" xfId="0" applyFont="1" applyAlignment="1">
      <alignment horizontal="center" vertical="center"/>
    </xf>
    <xf numFmtId="0" fontId="7" fillId="0" borderId="0" xfId="0" applyFont="1" applyAlignment="1">
      <alignment horizontal="center" vertical="center"/>
    </xf>
    <xf numFmtId="0" fontId="2" fillId="0" borderId="0" xfId="0" applyFont="1"/>
    <xf numFmtId="0" fontId="8" fillId="0" borderId="0" xfId="0" applyFont="1"/>
    <xf numFmtId="0" fontId="9"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0E06F-0A20-44CD-9F3B-675D6C609F82}">
  <dimension ref="A1:M106"/>
  <sheetViews>
    <sheetView tabSelected="1" zoomScale="144" workbookViewId="0">
      <pane ySplit="2" topLeftCell="A3" activePane="bottomLeft" state="frozen"/>
      <selection pane="bottomLeft" activeCell="D99" sqref="D99"/>
    </sheetView>
  </sheetViews>
  <sheetFormatPr baseColWidth="10" defaultColWidth="8.83203125" defaultRowHeight="15"/>
  <cols>
    <col min="1" max="1" width="9.1640625" style="2"/>
    <col min="2" max="2" width="12.5" style="2" customWidth="1"/>
    <col min="3" max="3" width="11.83203125" customWidth="1"/>
    <col min="4" max="4" width="22.6640625" style="7" customWidth="1"/>
  </cols>
  <sheetData>
    <row r="1" spans="1:13" ht="16">
      <c r="A1" s="9" t="s">
        <v>0</v>
      </c>
      <c r="B1" s="10" t="s">
        <v>1</v>
      </c>
      <c r="C1" s="10" t="s">
        <v>2</v>
      </c>
      <c r="D1" s="10" t="s">
        <v>3</v>
      </c>
      <c r="E1" s="11" t="s">
        <v>186</v>
      </c>
      <c r="F1" s="8" t="s">
        <v>187</v>
      </c>
      <c r="G1" s="8"/>
      <c r="H1" s="8"/>
      <c r="I1" s="8"/>
      <c r="J1" s="8"/>
      <c r="K1" s="8"/>
      <c r="L1" s="8"/>
      <c r="M1" s="8"/>
    </row>
    <row r="2" spans="1:13" s="1" customFormat="1" ht="16">
      <c r="A2" s="9"/>
      <c r="B2" s="10"/>
      <c r="C2" s="10"/>
      <c r="D2" s="10"/>
      <c r="E2" s="11"/>
      <c r="F2" s="12" t="s">
        <v>188</v>
      </c>
      <c r="G2" s="12" t="s">
        <v>189</v>
      </c>
      <c r="H2" s="12" t="s">
        <v>190</v>
      </c>
      <c r="I2" s="12" t="s">
        <v>191</v>
      </c>
      <c r="J2" s="12" t="s">
        <v>192</v>
      </c>
      <c r="K2" s="12" t="s">
        <v>193</v>
      </c>
      <c r="L2" s="12" t="s">
        <v>194</v>
      </c>
      <c r="M2" s="12" t="s">
        <v>195</v>
      </c>
    </row>
    <row r="3" spans="1:13" ht="17">
      <c r="A3" s="2">
        <v>1</v>
      </c>
      <c r="B3" s="5" t="s">
        <v>185</v>
      </c>
      <c r="C3" s="4" t="s">
        <v>4</v>
      </c>
      <c r="D3" s="3" t="s">
        <v>202</v>
      </c>
      <c r="E3">
        <f>LEN(D3)-LEN(SUBSTITUTE(D3," ",""))+1</f>
        <v>67</v>
      </c>
    </row>
    <row r="4" spans="1:13" ht="17">
      <c r="A4" s="2">
        <v>2</v>
      </c>
      <c r="B4" s="5" t="s">
        <v>5</v>
      </c>
      <c r="C4" s="4" t="s">
        <v>6</v>
      </c>
      <c r="D4" s="3" t="s">
        <v>7</v>
      </c>
      <c r="E4">
        <f t="shared" ref="E4:E67" si="0">LEN(D4)-LEN(SUBSTITUTE(D4," ",""))+1</f>
        <v>5</v>
      </c>
    </row>
    <row r="5" spans="1:13" ht="17">
      <c r="A5" s="2">
        <v>3</v>
      </c>
      <c r="B5" s="5" t="s">
        <v>8</v>
      </c>
      <c r="C5" s="4" t="s">
        <v>4</v>
      </c>
      <c r="D5" s="6" t="s">
        <v>172</v>
      </c>
      <c r="E5">
        <f t="shared" si="0"/>
        <v>15</v>
      </c>
      <c r="L5">
        <v>1</v>
      </c>
    </row>
    <row r="6" spans="1:13" ht="17">
      <c r="A6" s="2">
        <v>4</v>
      </c>
      <c r="B6" s="5" t="s">
        <v>9</v>
      </c>
      <c r="C6" s="4" t="s">
        <v>10</v>
      </c>
      <c r="D6" s="3" t="s">
        <v>11</v>
      </c>
      <c r="E6">
        <f t="shared" si="0"/>
        <v>1</v>
      </c>
    </row>
    <row r="7" spans="1:13" ht="17">
      <c r="A7" s="2">
        <v>5</v>
      </c>
      <c r="B7" s="5" t="s">
        <v>12</v>
      </c>
      <c r="C7" s="4" t="s">
        <v>4</v>
      </c>
      <c r="D7" s="3" t="s">
        <v>13</v>
      </c>
      <c r="E7">
        <f t="shared" si="0"/>
        <v>4</v>
      </c>
    </row>
    <row r="8" spans="1:13" ht="17">
      <c r="A8" s="2">
        <v>6</v>
      </c>
      <c r="B8" s="5" t="s">
        <v>14</v>
      </c>
      <c r="C8" s="4" t="s">
        <v>15</v>
      </c>
      <c r="D8" s="3" t="s">
        <v>16</v>
      </c>
      <c r="E8">
        <f t="shared" si="0"/>
        <v>1</v>
      </c>
    </row>
    <row r="9" spans="1:13" ht="17">
      <c r="A9" s="2">
        <v>7</v>
      </c>
      <c r="B9" s="5" t="s">
        <v>17</v>
      </c>
      <c r="C9" s="4" t="s">
        <v>4</v>
      </c>
      <c r="D9" s="3" t="s">
        <v>18</v>
      </c>
      <c r="E9">
        <f t="shared" si="0"/>
        <v>1</v>
      </c>
    </row>
    <row r="10" spans="1:13" ht="17">
      <c r="A10" s="2">
        <v>8</v>
      </c>
      <c r="B10" s="5" t="s">
        <v>19</v>
      </c>
      <c r="C10" s="4" t="s">
        <v>20</v>
      </c>
      <c r="D10" s="3" t="s">
        <v>21</v>
      </c>
      <c r="E10">
        <f t="shared" si="0"/>
        <v>1</v>
      </c>
    </row>
    <row r="11" spans="1:13" ht="17">
      <c r="A11" s="2">
        <v>9</v>
      </c>
      <c r="B11" s="5" t="s">
        <v>22</v>
      </c>
      <c r="C11" s="4" t="s">
        <v>4</v>
      </c>
      <c r="D11" s="3" t="s">
        <v>203</v>
      </c>
      <c r="E11">
        <f t="shared" si="0"/>
        <v>259</v>
      </c>
    </row>
    <row r="12" spans="1:13" ht="17">
      <c r="A12" s="2">
        <v>10</v>
      </c>
      <c r="B12" s="5" t="s">
        <v>23</v>
      </c>
      <c r="C12" s="4" t="s">
        <v>24</v>
      </c>
      <c r="D12" s="3" t="s">
        <v>25</v>
      </c>
      <c r="E12">
        <f t="shared" si="0"/>
        <v>1</v>
      </c>
    </row>
    <row r="13" spans="1:13" ht="17">
      <c r="A13" s="2">
        <v>11</v>
      </c>
      <c r="B13" s="5" t="s">
        <v>26</v>
      </c>
      <c r="C13" s="4" t="s">
        <v>4</v>
      </c>
      <c r="D13" s="3" t="s">
        <v>27</v>
      </c>
      <c r="E13">
        <f t="shared" si="0"/>
        <v>17</v>
      </c>
    </row>
    <row r="14" spans="1:13" ht="17">
      <c r="A14" s="2">
        <v>12</v>
      </c>
      <c r="B14" s="5" t="s">
        <v>28</v>
      </c>
      <c r="C14" s="4" t="s">
        <v>29</v>
      </c>
      <c r="D14" s="3" t="s">
        <v>16</v>
      </c>
      <c r="E14">
        <f t="shared" si="0"/>
        <v>1</v>
      </c>
    </row>
    <row r="15" spans="1:13" ht="17">
      <c r="A15" s="2">
        <v>13</v>
      </c>
      <c r="B15" s="5" t="s">
        <v>30</v>
      </c>
      <c r="C15" s="4" t="s">
        <v>4</v>
      </c>
      <c r="D15" s="3" t="s">
        <v>31</v>
      </c>
      <c r="E15">
        <f t="shared" si="0"/>
        <v>8</v>
      </c>
    </row>
    <row r="16" spans="1:13" ht="17">
      <c r="A16" s="2">
        <v>14</v>
      </c>
      <c r="B16" s="5" t="s">
        <v>32</v>
      </c>
      <c r="C16" s="4" t="s">
        <v>33</v>
      </c>
      <c r="D16" s="3" t="s">
        <v>34</v>
      </c>
      <c r="E16">
        <f t="shared" si="0"/>
        <v>1</v>
      </c>
    </row>
    <row r="17" spans="1:6" ht="17">
      <c r="A17" s="2">
        <v>15</v>
      </c>
      <c r="B17" s="5" t="s">
        <v>35</v>
      </c>
      <c r="C17" s="4" t="s">
        <v>4</v>
      </c>
      <c r="D17" s="3" t="s">
        <v>36</v>
      </c>
      <c r="E17">
        <f t="shared" si="0"/>
        <v>23</v>
      </c>
    </row>
    <row r="18" spans="1:6" ht="17">
      <c r="A18" s="2">
        <v>16</v>
      </c>
      <c r="B18" s="5" t="s">
        <v>37</v>
      </c>
      <c r="C18" s="4" t="s">
        <v>38</v>
      </c>
      <c r="D18" s="3" t="s">
        <v>39</v>
      </c>
      <c r="E18">
        <f t="shared" si="0"/>
        <v>2</v>
      </c>
    </row>
    <row r="19" spans="1:6" ht="17">
      <c r="A19" s="2">
        <v>17</v>
      </c>
      <c r="B19" s="5" t="s">
        <v>40</v>
      </c>
      <c r="C19" s="4" t="s">
        <v>4</v>
      </c>
      <c r="D19" s="3" t="s">
        <v>204</v>
      </c>
      <c r="E19">
        <f t="shared" si="0"/>
        <v>206</v>
      </c>
    </row>
    <row r="20" spans="1:6" ht="17">
      <c r="A20" s="2">
        <v>18</v>
      </c>
      <c r="B20" s="5" t="s">
        <v>41</v>
      </c>
      <c r="C20" s="4" t="s">
        <v>38</v>
      </c>
      <c r="D20" s="3" t="s">
        <v>16</v>
      </c>
      <c r="E20">
        <f t="shared" si="0"/>
        <v>1</v>
      </c>
    </row>
    <row r="21" spans="1:6" ht="17">
      <c r="A21" s="2">
        <v>19</v>
      </c>
      <c r="B21" s="5" t="s">
        <v>42</v>
      </c>
      <c r="C21" s="4" t="s">
        <v>4</v>
      </c>
      <c r="D21" s="3" t="s">
        <v>43</v>
      </c>
      <c r="E21">
        <f t="shared" si="0"/>
        <v>14</v>
      </c>
    </row>
    <row r="22" spans="1:6" ht="17">
      <c r="A22" s="2">
        <v>20</v>
      </c>
      <c r="B22" s="5" t="s">
        <v>44</v>
      </c>
      <c r="C22" s="4" t="s">
        <v>33</v>
      </c>
      <c r="D22" s="3" t="s">
        <v>177</v>
      </c>
      <c r="E22">
        <f t="shared" si="0"/>
        <v>2</v>
      </c>
    </row>
    <row r="23" spans="1:6" ht="17">
      <c r="A23" s="2">
        <v>21</v>
      </c>
      <c r="B23" s="5" t="s">
        <v>45</v>
      </c>
      <c r="C23" s="4" t="s">
        <v>4</v>
      </c>
      <c r="D23" s="3" t="s">
        <v>178</v>
      </c>
      <c r="E23">
        <f t="shared" si="0"/>
        <v>1</v>
      </c>
    </row>
    <row r="24" spans="1:6" ht="17">
      <c r="A24" s="2">
        <v>22</v>
      </c>
      <c r="B24" s="5" t="s">
        <v>46</v>
      </c>
      <c r="C24" s="4" t="s">
        <v>33</v>
      </c>
      <c r="D24" s="3" t="s">
        <v>178</v>
      </c>
      <c r="E24">
        <f t="shared" si="0"/>
        <v>1</v>
      </c>
    </row>
    <row r="25" spans="1:6" ht="17">
      <c r="A25" s="2">
        <v>23</v>
      </c>
      <c r="B25" s="5" t="s">
        <v>47</v>
      </c>
      <c r="C25" s="4" t="s">
        <v>4</v>
      </c>
      <c r="D25" s="3" t="s">
        <v>179</v>
      </c>
      <c r="E25">
        <f t="shared" si="0"/>
        <v>1</v>
      </c>
    </row>
    <row r="26" spans="1:6" ht="17">
      <c r="A26" s="2">
        <v>24</v>
      </c>
      <c r="B26" s="5" t="s">
        <v>48</v>
      </c>
      <c r="C26" s="4" t="s">
        <v>33</v>
      </c>
      <c r="D26" s="3" t="s">
        <v>179</v>
      </c>
      <c r="E26">
        <f t="shared" si="0"/>
        <v>1</v>
      </c>
    </row>
    <row r="27" spans="1:6" ht="17">
      <c r="A27" s="2">
        <v>25</v>
      </c>
      <c r="B27" s="5" t="s">
        <v>49</v>
      </c>
      <c r="C27" s="4" t="s">
        <v>4</v>
      </c>
      <c r="D27" s="3" t="s">
        <v>50</v>
      </c>
      <c r="E27">
        <f t="shared" si="0"/>
        <v>21</v>
      </c>
    </row>
    <row r="28" spans="1:6" ht="17">
      <c r="A28" s="2">
        <v>26</v>
      </c>
      <c r="B28" s="5" t="s">
        <v>51</v>
      </c>
      <c r="C28" s="4" t="s">
        <v>52</v>
      </c>
      <c r="D28" s="3" t="s">
        <v>178</v>
      </c>
      <c r="E28">
        <f t="shared" si="0"/>
        <v>1</v>
      </c>
    </row>
    <row r="29" spans="1:6" ht="17">
      <c r="A29" s="2">
        <v>27</v>
      </c>
      <c r="B29" s="5" t="s">
        <v>53</v>
      </c>
      <c r="C29" s="4" t="s">
        <v>4</v>
      </c>
      <c r="D29" s="3" t="s">
        <v>205</v>
      </c>
      <c r="E29">
        <f t="shared" si="0"/>
        <v>36</v>
      </c>
    </row>
    <row r="30" spans="1:6" ht="17">
      <c r="A30" s="2">
        <v>28</v>
      </c>
      <c r="B30" s="5" t="s">
        <v>54</v>
      </c>
      <c r="C30" s="4" t="s">
        <v>55</v>
      </c>
      <c r="D30" s="3" t="s">
        <v>180</v>
      </c>
      <c r="E30">
        <f t="shared" si="0"/>
        <v>1</v>
      </c>
    </row>
    <row r="31" spans="1:6" ht="17">
      <c r="A31" s="2">
        <v>29</v>
      </c>
      <c r="B31" s="5" t="s">
        <v>56</v>
      </c>
      <c r="C31" s="4" t="s">
        <v>4</v>
      </c>
      <c r="D31" s="3" t="s">
        <v>57</v>
      </c>
      <c r="E31">
        <f t="shared" si="0"/>
        <v>9</v>
      </c>
      <c r="F31">
        <v>1</v>
      </c>
    </row>
    <row r="32" spans="1:6" ht="17">
      <c r="A32" s="2">
        <v>30</v>
      </c>
      <c r="B32" s="5" t="s">
        <v>58</v>
      </c>
      <c r="C32" s="4" t="s">
        <v>55</v>
      </c>
      <c r="D32" s="3" t="s">
        <v>59</v>
      </c>
      <c r="E32">
        <f t="shared" si="0"/>
        <v>2</v>
      </c>
    </row>
    <row r="33" spans="1:12" ht="17">
      <c r="A33" s="2">
        <v>31</v>
      </c>
      <c r="B33" s="5" t="s">
        <v>60</v>
      </c>
      <c r="C33" s="4" t="s">
        <v>4</v>
      </c>
      <c r="D33" s="3" t="s">
        <v>61</v>
      </c>
      <c r="E33">
        <f t="shared" si="0"/>
        <v>7</v>
      </c>
      <c r="F33">
        <v>1</v>
      </c>
    </row>
    <row r="34" spans="1:12" ht="17">
      <c r="A34" s="2">
        <v>32</v>
      </c>
      <c r="B34" s="5" t="s">
        <v>62</v>
      </c>
      <c r="C34" s="4" t="s">
        <v>33</v>
      </c>
      <c r="D34" s="3" t="s">
        <v>63</v>
      </c>
      <c r="E34">
        <f t="shared" si="0"/>
        <v>3</v>
      </c>
    </row>
    <row r="35" spans="1:12" ht="17">
      <c r="A35" s="2">
        <v>33</v>
      </c>
      <c r="B35" s="5" t="s">
        <v>64</v>
      </c>
      <c r="C35" s="4" t="s">
        <v>4</v>
      </c>
      <c r="D35" s="3" t="s">
        <v>65</v>
      </c>
      <c r="E35">
        <f t="shared" si="0"/>
        <v>11</v>
      </c>
      <c r="F35">
        <v>1</v>
      </c>
    </row>
    <row r="36" spans="1:12" ht="17">
      <c r="A36" s="2">
        <v>34</v>
      </c>
      <c r="B36" s="5" t="s">
        <v>66</v>
      </c>
      <c r="C36" s="4" t="s">
        <v>67</v>
      </c>
      <c r="D36" s="3" t="s">
        <v>68</v>
      </c>
      <c r="E36">
        <f t="shared" si="0"/>
        <v>2</v>
      </c>
    </row>
    <row r="37" spans="1:12" ht="17">
      <c r="A37" s="2">
        <v>35</v>
      </c>
      <c r="B37" s="5" t="s">
        <v>69</v>
      </c>
      <c r="C37" s="4" t="s">
        <v>4</v>
      </c>
      <c r="D37" s="3" t="s">
        <v>70</v>
      </c>
      <c r="E37">
        <f t="shared" si="0"/>
        <v>4</v>
      </c>
      <c r="L37">
        <v>1</v>
      </c>
    </row>
    <row r="38" spans="1:12" ht="17">
      <c r="A38" s="2">
        <v>36</v>
      </c>
      <c r="B38" s="5" t="s">
        <v>71</v>
      </c>
      <c r="C38" s="4" t="s">
        <v>67</v>
      </c>
      <c r="D38" s="3" t="s">
        <v>16</v>
      </c>
      <c r="E38">
        <f t="shared" si="0"/>
        <v>1</v>
      </c>
    </row>
    <row r="39" spans="1:12" ht="17">
      <c r="A39" s="2">
        <v>37</v>
      </c>
      <c r="B39" s="5" t="s">
        <v>72</v>
      </c>
      <c r="C39" s="4" t="s">
        <v>4</v>
      </c>
      <c r="D39" s="3" t="s">
        <v>73</v>
      </c>
      <c r="E39">
        <f t="shared" si="0"/>
        <v>18</v>
      </c>
      <c r="L39">
        <v>1</v>
      </c>
    </row>
    <row r="40" spans="1:12" ht="17">
      <c r="A40" s="2">
        <v>38</v>
      </c>
      <c r="B40" s="5" t="s">
        <v>74</v>
      </c>
      <c r="C40" s="4" t="s">
        <v>75</v>
      </c>
      <c r="D40" s="3" t="s">
        <v>76</v>
      </c>
      <c r="E40">
        <f t="shared" si="0"/>
        <v>3</v>
      </c>
    </row>
    <row r="41" spans="1:12" ht="17">
      <c r="A41" s="2">
        <v>39</v>
      </c>
      <c r="B41" s="5" t="s">
        <v>77</v>
      </c>
      <c r="C41" s="4" t="s">
        <v>4</v>
      </c>
      <c r="D41" s="3" t="s">
        <v>206</v>
      </c>
      <c r="E41">
        <f t="shared" si="0"/>
        <v>101</v>
      </c>
    </row>
    <row r="42" spans="1:12" ht="17">
      <c r="A42" s="2">
        <v>40</v>
      </c>
      <c r="B42" s="5" t="s">
        <v>78</v>
      </c>
      <c r="C42" s="4" t="s">
        <v>79</v>
      </c>
      <c r="D42" s="3" t="s">
        <v>181</v>
      </c>
      <c r="E42">
        <f t="shared" si="0"/>
        <v>1</v>
      </c>
    </row>
    <row r="43" spans="1:12" ht="17">
      <c r="A43" s="2">
        <v>41</v>
      </c>
      <c r="B43" s="5" t="s">
        <v>80</v>
      </c>
      <c r="C43" s="4" t="s">
        <v>4</v>
      </c>
      <c r="D43" s="3" t="s">
        <v>207</v>
      </c>
      <c r="E43">
        <f t="shared" si="0"/>
        <v>340</v>
      </c>
    </row>
    <row r="44" spans="1:12" ht="17">
      <c r="A44" s="2">
        <v>42</v>
      </c>
      <c r="B44" s="5" t="s">
        <v>81</v>
      </c>
      <c r="C44" s="4" t="s">
        <v>82</v>
      </c>
      <c r="D44" s="3" t="s">
        <v>83</v>
      </c>
      <c r="E44">
        <f t="shared" si="0"/>
        <v>3</v>
      </c>
    </row>
    <row r="45" spans="1:12" ht="17">
      <c r="A45" s="2">
        <v>43</v>
      </c>
      <c r="B45" s="5" t="s">
        <v>84</v>
      </c>
      <c r="C45" s="4" t="s">
        <v>4</v>
      </c>
      <c r="D45" s="3" t="s">
        <v>85</v>
      </c>
      <c r="E45">
        <f t="shared" si="0"/>
        <v>1</v>
      </c>
    </row>
    <row r="46" spans="1:12" ht="17">
      <c r="A46" s="2">
        <v>44</v>
      </c>
      <c r="B46" s="5" t="s">
        <v>86</v>
      </c>
      <c r="C46" s="4" t="s">
        <v>82</v>
      </c>
      <c r="D46" s="3" t="s">
        <v>87</v>
      </c>
      <c r="E46">
        <f t="shared" si="0"/>
        <v>1</v>
      </c>
    </row>
    <row r="47" spans="1:12" ht="17">
      <c r="A47" s="2">
        <v>45</v>
      </c>
      <c r="B47" s="5" t="s">
        <v>88</v>
      </c>
      <c r="C47" s="4" t="s">
        <v>4</v>
      </c>
      <c r="D47" s="3" t="s">
        <v>208</v>
      </c>
      <c r="E47">
        <f t="shared" si="0"/>
        <v>65</v>
      </c>
      <c r="L47">
        <v>1</v>
      </c>
    </row>
    <row r="48" spans="1:12" ht="17">
      <c r="A48" s="2">
        <v>46</v>
      </c>
      <c r="B48" s="5" t="s">
        <v>89</v>
      </c>
      <c r="C48" s="4" t="s">
        <v>90</v>
      </c>
      <c r="D48" s="3" t="s">
        <v>91</v>
      </c>
      <c r="E48">
        <f t="shared" si="0"/>
        <v>1</v>
      </c>
    </row>
    <row r="49" spans="1:12" ht="17">
      <c r="A49" s="2">
        <v>47</v>
      </c>
      <c r="B49" s="5" t="s">
        <v>92</v>
      </c>
      <c r="C49" s="4" t="s">
        <v>4</v>
      </c>
      <c r="D49" s="3" t="s">
        <v>93</v>
      </c>
      <c r="E49">
        <f t="shared" si="0"/>
        <v>43</v>
      </c>
      <c r="L49">
        <v>1</v>
      </c>
    </row>
    <row r="50" spans="1:12" ht="17">
      <c r="A50" s="2">
        <v>48</v>
      </c>
      <c r="B50" s="5" t="s">
        <v>94</v>
      </c>
      <c r="C50" s="4" t="s">
        <v>95</v>
      </c>
      <c r="D50" s="3" t="s">
        <v>96</v>
      </c>
      <c r="E50">
        <f t="shared" si="0"/>
        <v>4</v>
      </c>
    </row>
    <row r="51" spans="1:12" ht="17">
      <c r="A51" s="2">
        <v>49</v>
      </c>
      <c r="B51" s="5" t="s">
        <v>97</v>
      </c>
      <c r="C51" s="4" t="s">
        <v>4</v>
      </c>
      <c r="D51" s="3" t="s">
        <v>98</v>
      </c>
      <c r="E51">
        <f t="shared" si="0"/>
        <v>6</v>
      </c>
      <c r="F51">
        <v>1</v>
      </c>
    </row>
    <row r="52" spans="1:12" ht="17">
      <c r="A52" s="2">
        <v>50</v>
      </c>
      <c r="B52" s="5" t="s">
        <v>99</v>
      </c>
      <c r="C52" s="4" t="s">
        <v>33</v>
      </c>
      <c r="D52" s="3" t="s">
        <v>182</v>
      </c>
      <c r="E52">
        <f t="shared" si="0"/>
        <v>1</v>
      </c>
    </row>
    <row r="53" spans="1:12" ht="17">
      <c r="A53" s="2">
        <v>51</v>
      </c>
      <c r="B53" s="5" t="s">
        <v>100</v>
      </c>
      <c r="C53" s="4" t="s">
        <v>4</v>
      </c>
      <c r="D53" s="3" t="s">
        <v>209</v>
      </c>
      <c r="E53">
        <f t="shared" si="0"/>
        <v>125</v>
      </c>
    </row>
    <row r="54" spans="1:12" ht="17">
      <c r="A54" s="2">
        <v>52</v>
      </c>
      <c r="B54" s="5" t="s">
        <v>101</v>
      </c>
      <c r="C54" s="4" t="s">
        <v>33</v>
      </c>
      <c r="D54" s="3" t="s">
        <v>102</v>
      </c>
      <c r="E54">
        <f t="shared" si="0"/>
        <v>1</v>
      </c>
    </row>
    <row r="55" spans="1:12" ht="17">
      <c r="A55" s="2">
        <v>53</v>
      </c>
      <c r="B55" s="5" t="s">
        <v>103</v>
      </c>
      <c r="C55" s="4" t="s">
        <v>4</v>
      </c>
      <c r="D55" s="3" t="s">
        <v>91</v>
      </c>
      <c r="E55">
        <f t="shared" si="0"/>
        <v>1</v>
      </c>
    </row>
    <row r="56" spans="1:12" ht="17">
      <c r="A56" s="2">
        <v>54</v>
      </c>
      <c r="B56" s="5" t="s">
        <v>104</v>
      </c>
      <c r="C56" s="4" t="s">
        <v>33</v>
      </c>
      <c r="D56" s="3" t="s">
        <v>91</v>
      </c>
      <c r="E56">
        <f t="shared" si="0"/>
        <v>1</v>
      </c>
    </row>
    <row r="57" spans="1:12" ht="17">
      <c r="A57" s="2">
        <v>55</v>
      </c>
      <c r="B57" s="5" t="s">
        <v>105</v>
      </c>
      <c r="C57" s="4" t="s">
        <v>4</v>
      </c>
      <c r="D57" s="3" t="s">
        <v>210</v>
      </c>
      <c r="E57">
        <f t="shared" si="0"/>
        <v>146</v>
      </c>
    </row>
    <row r="58" spans="1:12" ht="17">
      <c r="A58" s="2">
        <v>56</v>
      </c>
      <c r="B58" s="5" t="s">
        <v>106</v>
      </c>
      <c r="C58" s="4" t="s">
        <v>107</v>
      </c>
      <c r="D58" s="3" t="s">
        <v>183</v>
      </c>
      <c r="E58">
        <f t="shared" si="0"/>
        <v>1</v>
      </c>
    </row>
    <row r="59" spans="1:12" ht="17">
      <c r="A59" s="2">
        <v>57</v>
      </c>
      <c r="B59" s="5" t="s">
        <v>108</v>
      </c>
      <c r="C59" s="4" t="s">
        <v>4</v>
      </c>
      <c r="D59" s="3" t="s">
        <v>109</v>
      </c>
      <c r="E59">
        <f t="shared" si="0"/>
        <v>17</v>
      </c>
      <c r="I59">
        <v>1</v>
      </c>
    </row>
    <row r="60" spans="1:12" ht="17">
      <c r="A60" s="2">
        <v>58</v>
      </c>
      <c r="B60" s="5" t="s">
        <v>110</v>
      </c>
      <c r="C60" s="4" t="s">
        <v>107</v>
      </c>
      <c r="D60" s="3" t="s">
        <v>184</v>
      </c>
      <c r="E60">
        <f t="shared" si="0"/>
        <v>1</v>
      </c>
    </row>
    <row r="61" spans="1:12" ht="17">
      <c r="A61" s="2">
        <v>59</v>
      </c>
      <c r="B61" s="5" t="s">
        <v>111</v>
      </c>
      <c r="C61" s="4" t="s">
        <v>4</v>
      </c>
      <c r="D61" s="3" t="s">
        <v>211</v>
      </c>
      <c r="E61">
        <f t="shared" si="0"/>
        <v>119</v>
      </c>
    </row>
    <row r="62" spans="1:12" ht="17">
      <c r="A62" s="2">
        <v>60</v>
      </c>
      <c r="B62" s="5" t="s">
        <v>112</v>
      </c>
      <c r="C62" s="4" t="s">
        <v>113</v>
      </c>
      <c r="D62" s="3" t="s">
        <v>114</v>
      </c>
      <c r="E62">
        <f t="shared" si="0"/>
        <v>1</v>
      </c>
    </row>
    <row r="63" spans="1:12" ht="17">
      <c r="A63" s="2">
        <v>61</v>
      </c>
      <c r="B63" s="5" t="s">
        <v>115</v>
      </c>
      <c r="C63" s="4" t="s">
        <v>4</v>
      </c>
      <c r="D63" s="3" t="s">
        <v>85</v>
      </c>
      <c r="E63">
        <f t="shared" si="0"/>
        <v>1</v>
      </c>
    </row>
    <row r="64" spans="1:12" ht="17">
      <c r="A64" s="2">
        <v>62</v>
      </c>
      <c r="B64" s="5" t="s">
        <v>116</v>
      </c>
      <c r="C64" s="4" t="s">
        <v>113</v>
      </c>
      <c r="D64" s="3" t="s">
        <v>114</v>
      </c>
      <c r="E64">
        <f t="shared" si="0"/>
        <v>1</v>
      </c>
    </row>
    <row r="65" spans="1:12" ht="17">
      <c r="A65" s="2">
        <v>63</v>
      </c>
      <c r="B65" s="5" t="s">
        <v>117</v>
      </c>
      <c r="C65" s="4" t="s">
        <v>4</v>
      </c>
      <c r="D65" s="3" t="s">
        <v>118</v>
      </c>
      <c r="E65">
        <f t="shared" si="0"/>
        <v>21</v>
      </c>
    </row>
    <row r="66" spans="1:12" ht="17">
      <c r="A66" s="2">
        <v>64</v>
      </c>
      <c r="B66" s="5" t="s">
        <v>119</v>
      </c>
      <c r="C66" s="4" t="s">
        <v>33</v>
      </c>
      <c r="D66" s="3" t="s">
        <v>120</v>
      </c>
      <c r="E66">
        <f t="shared" si="0"/>
        <v>1</v>
      </c>
    </row>
    <row r="67" spans="1:12" ht="17">
      <c r="A67" s="2">
        <v>65</v>
      </c>
      <c r="B67" s="5" t="s">
        <v>121</v>
      </c>
      <c r="C67" s="4" t="s">
        <v>4</v>
      </c>
      <c r="D67" s="3" t="s">
        <v>122</v>
      </c>
      <c r="E67">
        <f t="shared" si="0"/>
        <v>20</v>
      </c>
      <c r="F67">
        <v>1</v>
      </c>
    </row>
    <row r="68" spans="1:12" ht="17">
      <c r="A68" s="2">
        <v>66</v>
      </c>
      <c r="B68" s="5" t="s">
        <v>123</v>
      </c>
      <c r="C68" s="4" t="s">
        <v>113</v>
      </c>
      <c r="D68" s="3" t="s">
        <v>124</v>
      </c>
      <c r="E68">
        <f t="shared" ref="E68:E99" si="1">LEN(D68)-LEN(SUBSTITUTE(D68," ",""))+1</f>
        <v>1</v>
      </c>
    </row>
    <row r="69" spans="1:12" ht="17">
      <c r="A69" s="2">
        <v>67</v>
      </c>
      <c r="B69" s="5" t="s">
        <v>125</v>
      </c>
      <c r="C69" s="4" t="s">
        <v>4</v>
      </c>
      <c r="D69" s="3" t="s">
        <v>126</v>
      </c>
      <c r="E69">
        <f t="shared" si="1"/>
        <v>51</v>
      </c>
    </row>
    <row r="70" spans="1:12" ht="17">
      <c r="A70" s="2">
        <v>68</v>
      </c>
      <c r="B70" s="5" t="s">
        <v>127</v>
      </c>
      <c r="C70" s="4" t="s">
        <v>33</v>
      </c>
      <c r="D70" s="3" t="s">
        <v>175</v>
      </c>
      <c r="E70">
        <f t="shared" si="1"/>
        <v>1</v>
      </c>
    </row>
    <row r="71" spans="1:12" ht="17">
      <c r="A71" s="2">
        <v>69</v>
      </c>
      <c r="B71" s="5" t="s">
        <v>128</v>
      </c>
      <c r="C71" s="4" t="s">
        <v>4</v>
      </c>
      <c r="D71" s="3" t="s">
        <v>124</v>
      </c>
      <c r="E71">
        <f t="shared" si="1"/>
        <v>1</v>
      </c>
    </row>
    <row r="72" spans="1:12" ht="17">
      <c r="A72" s="2">
        <v>70</v>
      </c>
      <c r="B72" s="5" t="s">
        <v>129</v>
      </c>
      <c r="C72" s="4" t="s">
        <v>33</v>
      </c>
      <c r="D72" s="3" t="s">
        <v>124</v>
      </c>
      <c r="E72">
        <f t="shared" si="1"/>
        <v>1</v>
      </c>
    </row>
    <row r="73" spans="1:12" ht="17">
      <c r="A73" s="2">
        <v>71</v>
      </c>
      <c r="B73" s="5" t="s">
        <v>130</v>
      </c>
      <c r="C73" s="4" t="s">
        <v>4</v>
      </c>
      <c r="D73" s="3" t="s">
        <v>176</v>
      </c>
      <c r="E73">
        <f t="shared" si="1"/>
        <v>160</v>
      </c>
    </row>
    <row r="74" spans="1:12" ht="17">
      <c r="A74" s="2">
        <v>72</v>
      </c>
      <c r="B74" s="5" t="s">
        <v>131</v>
      </c>
      <c r="C74" s="4" t="s">
        <v>132</v>
      </c>
      <c r="D74" s="3" t="s">
        <v>16</v>
      </c>
      <c r="E74">
        <f t="shared" si="1"/>
        <v>1</v>
      </c>
    </row>
    <row r="75" spans="1:12" ht="17">
      <c r="A75" s="2">
        <v>73</v>
      </c>
      <c r="B75" s="5" t="s">
        <v>133</v>
      </c>
      <c r="C75" s="4" t="s">
        <v>4</v>
      </c>
      <c r="D75" s="3" t="s">
        <v>134</v>
      </c>
      <c r="E75">
        <f t="shared" si="1"/>
        <v>11</v>
      </c>
      <c r="L75">
        <v>1</v>
      </c>
    </row>
    <row r="76" spans="1:12" ht="17">
      <c r="A76" s="2">
        <v>74</v>
      </c>
      <c r="B76" s="5" t="s">
        <v>135</v>
      </c>
      <c r="C76" s="4" t="s">
        <v>107</v>
      </c>
      <c r="D76" s="3" t="s">
        <v>136</v>
      </c>
      <c r="E76">
        <f t="shared" si="1"/>
        <v>1</v>
      </c>
    </row>
    <row r="77" spans="1:12" ht="17">
      <c r="A77" s="2">
        <v>75</v>
      </c>
      <c r="B77" s="5" t="s">
        <v>137</v>
      </c>
      <c r="C77" s="4" t="s">
        <v>4</v>
      </c>
      <c r="D77" s="3" t="s">
        <v>138</v>
      </c>
      <c r="E77">
        <f t="shared" si="1"/>
        <v>1</v>
      </c>
    </row>
    <row r="78" spans="1:12" ht="17">
      <c r="A78" s="2">
        <v>76</v>
      </c>
      <c r="B78" s="5" t="s">
        <v>139</v>
      </c>
      <c r="C78" s="4" t="s">
        <v>107</v>
      </c>
      <c r="D78" s="3" t="s">
        <v>140</v>
      </c>
      <c r="E78">
        <f t="shared" si="1"/>
        <v>3</v>
      </c>
    </row>
    <row r="79" spans="1:12" ht="17">
      <c r="A79" s="2">
        <v>77</v>
      </c>
      <c r="B79" s="5" t="s">
        <v>141</v>
      </c>
      <c r="C79" s="4" t="s">
        <v>4</v>
      </c>
      <c r="D79" s="3" t="s">
        <v>142</v>
      </c>
      <c r="E79">
        <f t="shared" si="1"/>
        <v>52</v>
      </c>
    </row>
    <row r="80" spans="1:12" ht="17">
      <c r="A80" s="2">
        <v>78</v>
      </c>
      <c r="B80" s="5" t="s">
        <v>143</v>
      </c>
      <c r="C80" s="4" t="s">
        <v>33</v>
      </c>
      <c r="D80" s="3" t="s">
        <v>173</v>
      </c>
      <c r="E80">
        <f t="shared" si="1"/>
        <v>1</v>
      </c>
    </row>
    <row r="81" spans="1:5" ht="17">
      <c r="A81" s="2">
        <v>79</v>
      </c>
      <c r="B81" s="5" t="s">
        <v>144</v>
      </c>
      <c r="C81" s="4" t="s">
        <v>4</v>
      </c>
      <c r="D81" s="3" t="s">
        <v>145</v>
      </c>
      <c r="E81">
        <f t="shared" si="1"/>
        <v>9</v>
      </c>
    </row>
    <row r="82" spans="1:5" ht="17">
      <c r="A82" s="2">
        <v>80</v>
      </c>
      <c r="B82" s="5" t="s">
        <v>146</v>
      </c>
      <c r="C82" s="4" t="s">
        <v>33</v>
      </c>
      <c r="D82" s="3" t="s">
        <v>173</v>
      </c>
      <c r="E82">
        <f t="shared" si="1"/>
        <v>1</v>
      </c>
    </row>
    <row r="83" spans="1:5" ht="17">
      <c r="A83" s="2">
        <v>81</v>
      </c>
      <c r="B83" s="5" t="s">
        <v>147</v>
      </c>
      <c r="C83" s="4" t="s">
        <v>4</v>
      </c>
      <c r="D83" s="3" t="s">
        <v>212</v>
      </c>
      <c r="E83">
        <f t="shared" si="1"/>
        <v>40</v>
      </c>
    </row>
    <row r="84" spans="1:5" ht="17">
      <c r="A84" s="2">
        <v>82</v>
      </c>
      <c r="B84" s="5" t="s">
        <v>148</v>
      </c>
      <c r="C84" s="4" t="s">
        <v>33</v>
      </c>
      <c r="D84" s="3" t="s">
        <v>174</v>
      </c>
      <c r="E84">
        <f t="shared" si="1"/>
        <v>1</v>
      </c>
    </row>
    <row r="85" spans="1:5" ht="17">
      <c r="A85" s="2">
        <v>83</v>
      </c>
      <c r="B85" s="5" t="s">
        <v>149</v>
      </c>
      <c r="C85" s="4" t="s">
        <v>4</v>
      </c>
      <c r="D85" s="3" t="s">
        <v>173</v>
      </c>
      <c r="E85">
        <f t="shared" si="1"/>
        <v>1</v>
      </c>
    </row>
    <row r="86" spans="1:5" ht="17">
      <c r="A86" s="2">
        <v>84</v>
      </c>
      <c r="B86" s="5" t="s">
        <v>150</v>
      </c>
      <c r="C86" s="4" t="s">
        <v>33</v>
      </c>
      <c r="D86" s="3" t="s">
        <v>173</v>
      </c>
      <c r="E86">
        <f t="shared" si="1"/>
        <v>1</v>
      </c>
    </row>
    <row r="87" spans="1:5" ht="17">
      <c r="A87" s="2">
        <v>85</v>
      </c>
      <c r="B87" s="5" t="s">
        <v>151</v>
      </c>
      <c r="C87" s="4" t="s">
        <v>4</v>
      </c>
      <c r="D87" s="3" t="s">
        <v>213</v>
      </c>
      <c r="E87">
        <f t="shared" si="1"/>
        <v>107</v>
      </c>
    </row>
    <row r="88" spans="1:5" ht="17">
      <c r="A88" s="2">
        <v>86</v>
      </c>
      <c r="B88" s="5" t="s">
        <v>152</v>
      </c>
      <c r="C88" s="4" t="s">
        <v>33</v>
      </c>
      <c r="D88" s="3" t="s">
        <v>153</v>
      </c>
      <c r="E88">
        <f t="shared" si="1"/>
        <v>1</v>
      </c>
    </row>
    <row r="89" spans="1:5" ht="17">
      <c r="A89" s="2">
        <v>87</v>
      </c>
      <c r="B89" s="5" t="s">
        <v>154</v>
      </c>
      <c r="C89" s="4" t="s">
        <v>4</v>
      </c>
      <c r="D89" s="3" t="s">
        <v>155</v>
      </c>
      <c r="E89">
        <f t="shared" si="1"/>
        <v>30</v>
      </c>
    </row>
    <row r="90" spans="1:5" ht="17">
      <c r="A90" s="2">
        <v>88</v>
      </c>
      <c r="B90" s="5" t="s">
        <v>156</v>
      </c>
      <c r="C90" s="4" t="s">
        <v>113</v>
      </c>
      <c r="D90" s="3" t="s">
        <v>16</v>
      </c>
      <c r="E90">
        <f t="shared" si="1"/>
        <v>1</v>
      </c>
    </row>
    <row r="91" spans="1:5" ht="17">
      <c r="A91" s="2">
        <v>89</v>
      </c>
      <c r="B91" s="5" t="s">
        <v>157</v>
      </c>
      <c r="C91" s="4" t="s">
        <v>4</v>
      </c>
      <c r="D91" s="3" t="s">
        <v>214</v>
      </c>
      <c r="E91">
        <f t="shared" si="1"/>
        <v>81</v>
      </c>
    </row>
    <row r="92" spans="1:5" ht="17">
      <c r="A92" s="2">
        <v>90</v>
      </c>
      <c r="B92" s="5" t="s">
        <v>158</v>
      </c>
      <c r="C92" s="4" t="s">
        <v>33</v>
      </c>
      <c r="D92" s="3" t="s">
        <v>159</v>
      </c>
      <c r="E92">
        <f t="shared" si="1"/>
        <v>2</v>
      </c>
    </row>
    <row r="93" spans="1:5" ht="17">
      <c r="A93" s="2">
        <v>91</v>
      </c>
      <c r="B93" s="5" t="s">
        <v>160</v>
      </c>
      <c r="C93" s="4" t="s">
        <v>4</v>
      </c>
      <c r="D93" s="3" t="s">
        <v>215</v>
      </c>
      <c r="E93">
        <f t="shared" si="1"/>
        <v>210</v>
      </c>
    </row>
    <row r="94" spans="1:5" ht="17">
      <c r="A94" s="2">
        <v>92</v>
      </c>
      <c r="B94" s="5" t="s">
        <v>161</v>
      </c>
      <c r="C94" s="4" t="s">
        <v>113</v>
      </c>
      <c r="D94" s="3" t="s">
        <v>39</v>
      </c>
      <c r="E94">
        <f t="shared" si="1"/>
        <v>2</v>
      </c>
    </row>
    <row r="95" spans="1:5" ht="17">
      <c r="A95" s="2">
        <v>93</v>
      </c>
      <c r="B95" s="5" t="s">
        <v>162</v>
      </c>
      <c r="C95" s="4" t="s">
        <v>4</v>
      </c>
      <c r="D95" s="3" t="s">
        <v>216</v>
      </c>
      <c r="E95">
        <f t="shared" si="1"/>
        <v>129</v>
      </c>
    </row>
    <row r="96" spans="1:5" ht="17">
      <c r="A96" s="2">
        <v>94</v>
      </c>
      <c r="B96" s="5" t="s">
        <v>163</v>
      </c>
      <c r="C96" s="4" t="s">
        <v>113</v>
      </c>
      <c r="D96" s="3" t="s">
        <v>164</v>
      </c>
      <c r="E96">
        <f t="shared" si="1"/>
        <v>2</v>
      </c>
    </row>
    <row r="97" spans="1:13" ht="17">
      <c r="A97" s="2">
        <v>95</v>
      </c>
      <c r="B97" s="5" t="s">
        <v>165</v>
      </c>
      <c r="C97" s="4" t="s">
        <v>4</v>
      </c>
      <c r="D97" s="3" t="s">
        <v>166</v>
      </c>
      <c r="E97">
        <f t="shared" si="1"/>
        <v>5</v>
      </c>
      <c r="F97">
        <v>1</v>
      </c>
    </row>
    <row r="98" spans="1:13" ht="17">
      <c r="A98" s="2">
        <v>96</v>
      </c>
      <c r="B98" s="5" t="s">
        <v>167</v>
      </c>
      <c r="C98" s="4" t="s">
        <v>168</v>
      </c>
      <c r="D98" s="3" t="s">
        <v>169</v>
      </c>
      <c r="E98">
        <f t="shared" si="1"/>
        <v>1</v>
      </c>
    </row>
    <row r="99" spans="1:13" ht="17">
      <c r="A99" s="2">
        <v>97</v>
      </c>
      <c r="B99" s="5" t="s">
        <v>170</v>
      </c>
      <c r="C99" s="4" t="s">
        <v>4</v>
      </c>
      <c r="D99" s="3" t="s">
        <v>171</v>
      </c>
      <c r="E99">
        <f t="shared" si="1"/>
        <v>57</v>
      </c>
    </row>
    <row r="101" spans="1:13" ht="16">
      <c r="D101" s="13" t="s">
        <v>196</v>
      </c>
      <c r="E101">
        <f>SUM(E3:E99)</f>
        <v>2743</v>
      </c>
      <c r="F101">
        <f t="shared" ref="F101:M101" si="2">SUM(F3:F99)</f>
        <v>6</v>
      </c>
      <c r="G101">
        <f t="shared" si="2"/>
        <v>0</v>
      </c>
      <c r="H101">
        <f t="shared" si="2"/>
        <v>0</v>
      </c>
      <c r="I101">
        <f t="shared" si="2"/>
        <v>1</v>
      </c>
      <c r="J101">
        <f t="shared" si="2"/>
        <v>0</v>
      </c>
      <c r="K101">
        <f t="shared" si="2"/>
        <v>0</v>
      </c>
      <c r="L101">
        <f t="shared" si="2"/>
        <v>6</v>
      </c>
      <c r="M101">
        <f t="shared" si="2"/>
        <v>0</v>
      </c>
    </row>
    <row r="102" spans="1:13">
      <c r="D102" s="14" t="s">
        <v>197</v>
      </c>
      <c r="E102">
        <f>SUMIF(C3:C99, "Teacher", E3:E99)</f>
        <v>2673</v>
      </c>
    </row>
    <row r="103" spans="1:13">
      <c r="D103" s="14" t="s">
        <v>198</v>
      </c>
      <c r="E103">
        <f>E101-E102</f>
        <v>70</v>
      </c>
    </row>
    <row r="104" spans="1:13">
      <c r="D104" s="14" t="s">
        <v>199</v>
      </c>
      <c r="E104">
        <v>97</v>
      </c>
    </row>
    <row r="105" spans="1:13">
      <c r="D105" s="14" t="s">
        <v>200</v>
      </c>
      <c r="E105">
        <f>COUNTIF(C3:C99, "Teacher")</f>
        <v>49</v>
      </c>
    </row>
    <row r="106" spans="1:13">
      <c r="D106" s="14" t="s">
        <v>201</v>
      </c>
      <c r="E106">
        <f>E104-E105</f>
        <v>48</v>
      </c>
    </row>
  </sheetData>
  <mergeCells count="6">
    <mergeCell ref="A1:A2"/>
    <mergeCell ref="B1:B2"/>
    <mergeCell ref="C1:C2"/>
    <mergeCell ref="D1:D2"/>
    <mergeCell ref="E1:E2"/>
    <mergeCell ref="F1:M1"/>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Munene</dc:creator>
  <cp:lastModifiedBy>susan zhou</cp:lastModifiedBy>
  <dcterms:created xsi:type="dcterms:W3CDTF">2026-03-28T04:31:26Z</dcterms:created>
  <dcterms:modified xsi:type="dcterms:W3CDTF">2026-04-25T03:38:48Z</dcterms:modified>
</cp:coreProperties>
</file>