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https://d.docs.live.net/529a137f6cc16f6a/课内相关/京师人/学业/各种项目/2026上半年陶瓷/ChenGaowei/5.20编码任务/"/>
    </mc:Choice>
  </mc:AlternateContent>
  <xr:revisionPtr revIDLastSave="12" documentId="8_{C90FFB90-F5C7-EC44-A759-9530EB03EE3C}" xr6:coauthVersionLast="47" xr6:coauthVersionMax="47" xr10:uidLastSave="{CB8A5B0C-8017-254E-98AA-453862D174C3}"/>
  <bookViews>
    <workbookView xWindow="14800" yWindow="920" windowWidth="14440" windowHeight="16120" xr2:uid="{00000000-000D-0000-FFFF-FFFF00000000}"/>
  </bookViews>
  <sheets>
    <sheet name="SubtitleContentTmpl-727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0" i="1" l="1"/>
  <c r="G100" i="1"/>
  <c r="H100" i="1"/>
  <c r="I100" i="1"/>
  <c r="J100" i="1"/>
  <c r="K100" i="1"/>
  <c r="L100" i="1"/>
  <c r="M100" i="1"/>
  <c r="E105" i="1"/>
  <c r="E104"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3" i="1"/>
  <c r="E101" i="1" l="1"/>
  <c r="E100" i="1"/>
  <c r="E102" i="1" l="1"/>
</calcChain>
</file>

<file path=xl/sharedStrings.xml><?xml version="1.0" encoding="utf-8"?>
<sst xmlns="http://schemas.openxmlformats.org/spreadsheetml/2006/main" count="403" uniqueCount="316">
  <si>
    <t>1</t>
  </si>
  <si>
    <t>2</t>
  </si>
  <si>
    <t>3</t>
  </si>
  <si>
    <t>4</t>
  </si>
  <si>
    <t>5</t>
  </si>
  <si>
    <t>6</t>
  </si>
  <si>
    <t>7</t>
  </si>
  <si>
    <t>8</t>
  </si>
  <si>
    <t>9</t>
  </si>
  <si>
    <t>10</t>
  </si>
  <si>
    <t>11</t>
  </si>
  <si>
    <t>Student A</t>
  </si>
  <si>
    <t>12</t>
  </si>
  <si>
    <t>14</t>
  </si>
  <si>
    <t>15</t>
  </si>
  <si>
    <t>Student B</t>
  </si>
  <si>
    <t>16</t>
  </si>
  <si>
    <t>17</t>
  </si>
  <si>
    <t>18</t>
  </si>
  <si>
    <t>19</t>
  </si>
  <si>
    <t>20</t>
  </si>
  <si>
    <t>21</t>
  </si>
  <si>
    <t>22</t>
  </si>
  <si>
    <t>23</t>
  </si>
  <si>
    <t>24</t>
  </si>
  <si>
    <t>25</t>
  </si>
  <si>
    <t>26</t>
  </si>
  <si>
    <t>Ss</t>
  </si>
  <si>
    <t>27</t>
  </si>
  <si>
    <t>(Incoherent)</t>
  </si>
  <si>
    <t>Teacher</t>
  </si>
  <si>
    <t>(group work)</t>
  </si>
  <si>
    <t>00:00-00:05</t>
  </si>
  <si>
    <t>Aiden</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</si>
  <si>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</si>
  <si>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</si>
  <si>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</si>
  <si>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</si>
  <si>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</si>
  <si>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</si>
  <si>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</si>
  <si>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</si>
  <si>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</si>
  <si>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</si>
  <si>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</si>
  <si>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</si>
  <si>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</si>
  <si>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</si>
  <si>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</si>
  <si>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</si>
  <si>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</si>
  <si>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</si>
  <si>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</si>
  <si>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</si>
  <si>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</si>
  <si>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</si>
  <si>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</si>
  <si>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</si>
  <si>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</si>
  <si>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</si>
  <si>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</si>
  <si>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</si>
  <si>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</si>
  <si>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</si>
  <si>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</si>
  <si>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</si>
  <si>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</si>
  <si>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</si>
  <si>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</si>
  <si>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</si>
  <si>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</si>
  <si>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</si>
  <si>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</si>
  <si>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</si>
  <si>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</si>
  <si>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</si>
  <si>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</si>
  <si>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</si>
  <si>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</si>
  <si>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</si>
  <si>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</si>
  <si>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</si>
  <si>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</si>
  <si>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</si>
  <si>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</si>
  <si>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</si>
  <si>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</si>
  <si>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</si>
  <si>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</si>
  <si>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</si>
  <si>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</si>
  <si>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</si>
  <si>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</si>
  <si>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</si>
  <si>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</si>
  <si>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</si>
  <si>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</si>
  <si>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</si>
  <si>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</si>
  <si>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</si>
  <si>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</si>
  <si>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</si>
  <si>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</si>
  <si>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Okay, today we have two guests visiting us.</t>
  </si>
  <si>
    <t>So good morning, class.</t>
  </si>
  <si>
    <t>Please be seated.</t>
  </si>
  <si>
    <t>Yeah, thank you.</t>
  </si>
  <si>
    <t>The seats are there. The iPads are ready for you there.</t>
  </si>
  <si>
    <t>Thank you.</t>
  </si>
  <si>
    <t>Face.</t>
  </si>
  <si>
    <t>Face. No, not face. Any more guesses? Come on, come on, come on. Head, not head. Emotion. Not emotion. Close to face. It starts with an A. We have learned that before. Yes, Lucy.</t>
  </si>
  <si>
    <t>Appearance.</t>
  </si>
  <si>
    <t>Appearance, yes, correct. The second word comes from unit three. You know, I'm not very nervous. So similar to esports player, they have performance. Anyone? Anyone? Yes, Aidan.</t>
  </si>
  <si>
    <t>Anxiety.</t>
  </si>
  <si>
    <t>Okay, correct. So, what is the term I want to tell you today?</t>
  </si>
  <si>
    <t>Appearance anxiety.</t>
  </si>
  <si>
    <t>Guest 1</t>
  </si>
  <si>
    <t>Guest 2</t>
  </si>
  <si>
    <t>Hebe</t>
  </si>
  <si>
    <t>Lucy</t>
  </si>
  <si>
    <t>00:06-00:10</t>
  </si>
  <si>
    <t>00:10-00:13</t>
  </si>
  <si>
    <t>Good morning Miss (incoherent)</t>
  </si>
  <si>
    <t>00:13-00:14</t>
  </si>
  <si>
    <t>00:14-00:18</t>
  </si>
  <si>
    <t>00:18-00:19</t>
  </si>
  <si>
    <t>00:19-00:25</t>
  </si>
  <si>
    <t>00:25-00:26</t>
  </si>
  <si>
    <t>00:26-01:21</t>
  </si>
  <si>
    <t>01:21-01:22</t>
  </si>
  <si>
    <t>01:22-01:38</t>
  </si>
  <si>
    <t>01:38-01:39</t>
  </si>
  <si>
    <t>01:39-01:56</t>
  </si>
  <si>
    <t>01:56-01:57</t>
  </si>
  <si>
    <t>01:57-02:06</t>
  </si>
  <si>
    <t>02:06-02:07</t>
  </si>
  <si>
    <t>Kevin... Kevin4E24, okay. Just a trial, yeah. Good try, good try. But this is not a reason for appearance in society. So why are people anxious or... nervous about their looks all the time.</t>
  </si>
  <si>
    <t>03:05-03:15</t>
  </si>
  <si>
    <t>03:15-03:45</t>
  </si>
  <si>
    <t>03:45-03:55</t>
  </si>
  <si>
    <t>03:55-05:49</t>
  </si>
  <si>
    <t>05:49-05:52</t>
  </si>
  <si>
    <t>They want to impress people.</t>
  </si>
  <si>
    <t>Like as you can tell, I'm wearing a mask because I almost didn't sleep last night, so I looked very terrible. I am quite scared. Scared of what? You can type the reason if you know it. You. What is you? Acne. Okay. Ugly. Social acceptance. Lack of sleep. Short. Are you describing me? Any more? Any more? Come on, come on. No, no. I accept this compliment, but there's not a reason, right? Come on, come on. Tired. Comparing. Oh, that's a good one. Ugly and fat have become larger because many of you are typing it. Okay, now we have some key terms, key words. I want to invite one to two students to tell us the longer reason why people have appearance anxiety. Any volunteers? Okay, Taurus.</t>
  </si>
  <si>
    <t>Taurus</t>
  </si>
  <si>
    <t>Who are the they?</t>
  </si>
  <si>
    <t>People who have the appearance anxiety.</t>
  </si>
  <si>
    <t>Yoyo</t>
  </si>
  <si>
    <t>I think it's because people who have the appearance anxieties because they always compare comparing with others.</t>
  </si>
  <si>
    <t>Jacky</t>
  </si>
  <si>
    <t>Second.</t>
  </si>
  <si>
    <t>If it's successful, it will enhance our reputation for high-quality products.</t>
  </si>
  <si>
    <t>Alan</t>
  </si>
  <si>
    <t>Okay, correct. This is also an aim for the chocolate, but I'm asking you about the mirror. So this blue part, can you tell us the aim of the inner mirror? Which sentence?</t>
  </si>
  <si>
    <t>02:07-03:05</t>
  </si>
  <si>
    <t>Appearance anxiety. That's right. Okay, so before we start the topic today, I will ask you to do something here. Can you please scan the QR code? So as you can see appearance anxiety. Now I want you to think of one to two words that are the reasons why people have anxiety about their looks and their appearance. Okay, so you can discuss with your neighbours and whenever you have the answer, one to two words, you can type it into the word cloud. I'll give you two minutes.</t>
  </si>
  <si>
    <t>05:52-05:55</t>
  </si>
  <si>
    <t>05:55-05:58</t>
  </si>
  <si>
    <t>05:58-06:30</t>
  </si>
  <si>
    <t>06:30-06:44</t>
  </si>
  <si>
    <t>06:44-09:28</t>
  </si>
  <si>
    <t>09:28-09:41</t>
  </si>
  <si>
    <t>09:41-10:19</t>
  </si>
  <si>
    <t>10:19-10:27</t>
  </si>
  <si>
    <t>10:27-11:35</t>
  </si>
  <si>
    <t>11:35-11:46</t>
  </si>
  <si>
    <t>11:46-11:58</t>
  </si>
  <si>
    <t>Bella</t>
  </si>
  <si>
    <t>11:58-12:21</t>
  </si>
  <si>
    <t>This elegant mirror.</t>
  </si>
  <si>
    <t>12:21-12:40</t>
  </si>
  <si>
    <t>12:40-12:44</t>
  </si>
  <si>
    <t>This elegant mirror has a button has a button that could allow you to do a self-reflection every day okay that is not the aim but uh thank you good try uh anyone who wants to tell us the aim of the inner mirror yes Ella.</t>
  </si>
  <si>
    <t>It's a chance to take care about yourself.</t>
  </si>
  <si>
    <t>12:44-14:42</t>
  </si>
  <si>
    <t>14:42-15:14</t>
  </si>
  <si>
    <t>Ella</t>
  </si>
  <si>
    <t>15:14-15:21</t>
  </si>
  <si>
    <t>Okay Marco you're in front of me so I'm choosing you now. Which one is the what.</t>
  </si>
  <si>
    <t>What is Uh the mean lunar mirror is not only a mirror.</t>
  </si>
  <si>
    <t>It allows you to do a self-reflection.</t>
  </si>
  <si>
    <t>Past. Tense.</t>
  </si>
  <si>
    <t>Not past tense. You can see it on the screen.</t>
  </si>
  <si>
    <t>Modal verbs.</t>
  </si>
  <si>
    <t>Yeah, modal verbs.</t>
  </si>
  <si>
    <t>Can you give me some more examples of modal verbs apart from could or would? We have could, would, anymore?</t>
  </si>
  <si>
    <t>Should.</t>
  </si>
  <si>
    <t>Give me one more.</t>
  </si>
  <si>
    <t>Two.</t>
  </si>
  <si>
    <t>Where?</t>
  </si>
  <si>
    <t>Can.</t>
  </si>
  <si>
    <t>Marco</t>
  </si>
  <si>
    <t>Tina</t>
  </si>
  <si>
    <t>15:21-15:28</t>
  </si>
  <si>
    <t>15:28-15:56</t>
  </si>
  <si>
    <t>15:56-15:58</t>
  </si>
  <si>
    <t>15:58-17:21</t>
  </si>
  <si>
    <t>17:21-17:24</t>
  </si>
  <si>
    <t>17:24-17:32</t>
  </si>
  <si>
    <t>17:32-17:33</t>
  </si>
  <si>
    <t>17:33-17:34</t>
  </si>
  <si>
    <t>17:34-17:43</t>
  </si>
  <si>
    <t>17:43-17:44</t>
  </si>
  <si>
    <t>17:44-17:45</t>
  </si>
  <si>
    <t>17:54-18:59</t>
  </si>
  <si>
    <t>17:45-17:54</t>
  </si>
  <si>
    <t>18:59-19:00</t>
  </si>
  <si>
    <t>19:00-19:03</t>
  </si>
  <si>
    <t>19:03-19:04</t>
  </si>
  <si>
    <t>19:04-20:22</t>
  </si>
  <si>
    <t>20:22-20:23</t>
  </si>
  <si>
    <t>Sherry</t>
  </si>
  <si>
    <t>Viola</t>
  </si>
  <si>
    <t>So, a major advantage of...</t>
  </si>
  <si>
    <t>A major advantage of...</t>
  </si>
  <si>
    <t>Of buying this product.</t>
  </si>
  <si>
    <t>Buying this product.</t>
  </si>
  <si>
    <t>It is a product which can boost your confidence and lets you (incoherent) more yourself.</t>
  </si>
  <si>
    <t>20:23-22:10</t>
  </si>
  <si>
    <t>22:10-22:13</t>
  </si>
  <si>
    <t>22:13-22:23</t>
  </si>
  <si>
    <t>22:23-22:26</t>
  </si>
  <si>
    <t>22:26-22:28</t>
  </si>
  <si>
    <t>22:28-22:35</t>
  </si>
  <si>
    <t>22:35-24:25</t>
  </si>
  <si>
    <t>24:25-24:58</t>
  </si>
  <si>
    <t>Remember to type your name in the subject.</t>
  </si>
  <si>
    <t>Okay, 20 seconds.</t>
  </si>
  <si>
    <t>24:58-25:00</t>
  </si>
  <si>
    <t>25:00-25:58</t>
  </si>
  <si>
    <t>25:58-26:00</t>
  </si>
  <si>
    <t>26:00-26:32</t>
  </si>
  <si>
    <t>26:32-28:17</t>
  </si>
  <si>
    <t>28:16-28:17</t>
  </si>
  <si>
    <t>28:17-28:22</t>
  </si>
  <si>
    <t>28:22-28:24</t>
  </si>
  <si>
    <t>28:24-28:26</t>
  </si>
  <si>
    <t>Yes, Taurus, what did you say? What did you say?</t>
  </si>
  <si>
    <t>It's providing what?</t>
  </si>
  <si>
    <t>28:26-28:28</t>
  </si>
  <si>
    <t>Okay, right now I see Taurus with one answer, comforting people who are stressed out. Marco's empty. Hurry up, hurry up. Can you post it now? Okay, Sherry wrote to provide a feeling of safety to users. Fit your wrist size, Aiden and yo-yo. Okay, play some relaxing music when users are stressed. Comfort charm can make a student feel chill when they are being there, such as they stay with their friends. Okay, now let's try to write the paragraph together. So at the very beginning, what should we write? You remember the paragraph on inner mirror? So let's start with this comfort charm. Okay, this comfort charm is what? Can you give me something attractive?</t>
  </si>
  <si>
    <t>Comfort to users.</t>
  </si>
  <si>
    <t>Comfort.</t>
  </si>
  <si>
    <t>28:28-29:29</t>
  </si>
  <si>
    <t>29:29-29:31</t>
  </si>
  <si>
    <t>29:31-33:41</t>
  </si>
  <si>
    <t>33:41-33:45</t>
  </si>
  <si>
    <t>34:07-34:09</t>
  </si>
  <si>
    <t>From others who are talking about your appearance.</t>
  </si>
  <si>
    <t>33:45-34:07</t>
  </si>
  <si>
    <t>Release.</t>
  </si>
  <si>
    <t>34:09-35:47</t>
  </si>
  <si>
    <t>36:15-36:26</t>
  </si>
  <si>
    <t>36:26-36:31</t>
  </si>
  <si>
    <t>Compare with friends in a positive way or in a negative way?</t>
  </si>
  <si>
    <t>Negative ways! But we're helping those people who have anxiety. Can you think of another feature for this smartwatch?</t>
  </si>
  <si>
    <t>Maybe you can use this watch to Let other people know…</t>
  </si>
  <si>
    <t>Let other people know what?</t>
  </si>
  <si>
    <t>You can use this watch to do many things like send a message.</t>
  </si>
  <si>
    <t>Steven</t>
  </si>
  <si>
    <t>Compare with friends.</t>
  </si>
  <si>
    <t>Negative.</t>
  </si>
  <si>
    <t>35:47-35:49</t>
  </si>
  <si>
    <t>35:49-35:53</t>
  </si>
  <si>
    <t>35:53-35:55</t>
  </si>
  <si>
    <t>35:55-36:15</t>
  </si>
  <si>
    <t>Okay, you can send a message or you can let others know about... What can they know about actually? Lucy, you have any ideas? You can help out.</t>
  </si>
  <si>
    <t>Well, smart watches can track your heartbeat and steps, and I think it could help with appearance anxiety. You can know that you're healthy and you don't really need to be anxious about your appearance.</t>
  </si>
  <si>
    <t>36:31-36:38</t>
  </si>
  <si>
    <t>36:38-36:54</t>
  </si>
  <si>
    <t>36:54-37:12</t>
  </si>
  <si>
    <t>That's right so apart from texting others or timing ourselves a smartwatch can also let us measure our heartbeat so when you have an appearance anxiety your heart beats very very fast right so if you wear this social smartwatch maybe it can reduce your heart rate or make you less anxious. So tonight you have the link. Can you please type your ideas, your paragraph similar to this one. Try to write this paragraph with your classmates online and we will focus on this one after that. Actually, the auction is not finished yet I have another item on sale do you know what that is can you guess it's related to what we did just now you know someone took it for us okay the last item on sale is this one, okay, 4E, and actually it's all of us. That's the message I want to tell you, is that we can't beat any others. We don't have a... We may think that we are worthless, but imperfect actually has another meaning. If you try to separate in and perfect. What will it become? I'm perfect, yes. So today, I hope that you can learn how to write a proposal and also learn to accept yourself because... options or other sales or other shopping activities will make us think that we have a value we need to be as great as others but if we learn to accept ourselves we can it's actually more important than how people accept us so actually I should take off my mask because I should also accept myself okay Stand up. Stand up. Let's say goodbye to the guests first.</t>
  </si>
  <si>
    <t>Goodbye class.</t>
  </si>
  <si>
    <t>Goodbye and thank you teachers.</t>
  </si>
  <si>
    <t>37:12-40:08</t>
  </si>
  <si>
    <t>40:08-40:10</t>
  </si>
  <si>
    <t>40:10-40:12</t>
  </si>
  <si>
    <t>40:12-40:13</t>
  </si>
  <si>
    <t>40:13-40:16</t>
  </si>
  <si>
    <t>word</t>
    <phoneticPr fontId="2" type="noConversion"/>
  </si>
  <si>
    <t>APT moves</t>
    <phoneticPr fontId="2" type="noConversion"/>
  </si>
  <si>
    <t>Say more(T3)</t>
  </si>
  <si>
    <t>Revoice(T1)</t>
  </si>
  <si>
    <t>Press for reasoning(T2)</t>
  </si>
  <si>
    <t>Challenge(T4)</t>
  </si>
  <si>
    <t>Restate(1678976054)</t>
  </si>
  <si>
    <t>Agree/Disagree(1678976089)</t>
  </si>
  <si>
    <t>Add on(1678976097)</t>
  </si>
  <si>
    <t>Explain others(T5)</t>
  </si>
  <si>
    <t>Number</t>
    <phoneticPr fontId="2" type="noConversion"/>
  </si>
  <si>
    <t>Timestamp</t>
    <phoneticPr fontId="2" type="noConversion"/>
  </si>
  <si>
    <t>Speaker</t>
    <phoneticPr fontId="2" type="noConversion"/>
  </si>
  <si>
    <t>Utterance</t>
    <phoneticPr fontId="2" type="noConversion"/>
  </si>
  <si>
    <t>sum</t>
  </si>
  <si>
    <t>Teachers' total words</t>
  </si>
  <si>
    <t>Students' total words</t>
  </si>
  <si>
    <t>Total turns</t>
  </si>
  <si>
    <t>No. of teachers' turn</t>
  </si>
  <si>
    <t>No. of students' turn</t>
  </si>
  <si>
    <t>Okay. All right, class. So today, as you can see on this PowerPoint, we are writing a proposal. But before that, I would like to play a little game with you. It's called BIG TV. So I'm going to describe this term, and then please give me the answer. So two words. The first word is this one. Any guesses? It starts with... Let me not. One word. This one. Anyone? Yes, Hebe.</t>
    <phoneticPr fontId="2" type="noConversion"/>
  </si>
  <si>
    <t>So people who have appearance, thank you, who have appearance anxiety want to impress the others. Any other reasons? Any female volunteers? Well, we have two subject leaders because we are 4E, so which subject leader? Yoyo, perhaps you can tell us something.</t>
    <phoneticPr fontId="2" type="noConversion"/>
  </si>
  <si>
    <t>Okay they always compare themselves with others thank you that is related to one term here do you know which term it starts with an S social acceptance yeah because we want we all want to be… What does social acceptance mean? We all wanted to be accepted, correct? Okay, so that is the end of this brainstorming. All right, on to the main event for today. Today we're going to have an auction. So for today's auction we have a few items on display the first item is when you look in the mirror you may feel like you are nothing or you may feel like you're very ugly to go out but we have this thing called inner mirror okay so what does the inner mirror do let's take a look before you bid for the item. The inner mirror is not only a mirror, but also a chance to care about yourself. As we wish to enhance how you look at yourself, this elegant mirror has a button that could allow you to do a self-reflection every day. We highly recommend that you buy this product as it is a partner who can boost your confidence and let you discover more of yourself. So, this is the description for the inner mirror. Now, can you take a look at this worksheet? At the very beginning, I told you we would be writing a proposal, so just now the description of inner mirror is similar to what we will be doing in the long writing. So let's take a look at the key elements in the proposal. So I want to focus on this part. Look at this part. Introduction. So whenever you introduce a product, you want to tell others about your product, you need to do a few things. First of all, we need to state the aim of the proposal. Underline that. Where is the aim of the proposal, Jacky?</t>
    <phoneticPr fontId="2" type="noConversion"/>
  </si>
  <si>
    <t>We wish to increase our presence in the market of novelty chocolate confectionary</t>
    <phoneticPr fontId="2" type="noConversion"/>
  </si>
  <si>
    <t>Confectionery, correct. So, we wish to increase our presence in the market of novelty chocolate confectionery that is the aim of your proposed product or your proposal then you should introduce the project the idea or the product which part tells you about the project the idea or the product, Bella! Stand up and tell us which sentence, the first sentence or the second or the third?</t>
    <phoneticPr fontId="2" type="noConversion"/>
  </si>
  <si>
    <t>Okay, it seems like the second one yes thank you the wedding favour idea is not new but this product puts a new spin on it what does puts a new spin on it mean that means it is a new version okay it's a new version of chocolate you remember this description I wrote about the inner mirror. Which part is the aim of the proposal? Any volunteers? If not, I will take a random number. Okay, 4E, number 10. Do we have number 10? Or someone close to that number? Oh, Alan, it must be you. You're shaking your head. Which one is the aim of the proposal? Try.</t>
    <phoneticPr fontId="2" type="noConversion"/>
  </si>
  <si>
    <t>It's a chance to take care about yourself what about the next sentence is it also an aim? Is it why we want to have this inner mirror? Yes. So, is it an aim? Yes, it is an aim. So, this part, care about yourself and then wish to enhance how you look at yourself. This is the aim of the proposed product. Okay, time is quite limited, so I will focus on other aspects of the proposal next time. So, this time I want you to focus on the details of your item. So, as you can see here, in a proposal, we need to detail the specific things in the product. For example, this chocolate, we have a white box. And we talk about the retail price. So, whatever you can think of, you can include it in your product details part. So, make sure you ask yourself a few WH words. The first one, what? What are you selling? So, the name of it and the look of it, what colour it comes with. when so when will it be sold in the market so the schedule and the deadline and the how. How you want to produce the product the mirror. Okay again, let's look at this same paragraph which part is what? which part is when? and which part is how? Can you talk to your neighbor and find out the watch here? Find out the what</t>
    <phoneticPr fontId="2" type="noConversion"/>
  </si>
  <si>
    <t>So the first sentence? Yes okay yes correct. The first sentence is the what. Any when or how here? When? Probably not, but what about how? Maybe how they can use the mirror, how the mirror will be produced. Taurus, you're nodding, so any thoughts?</t>
    <phoneticPr fontId="2" type="noConversion"/>
  </si>
  <si>
    <t>Yeah, this part. Okay, so this part is also the details of the inner mirror. Okay, we're skipping this part, okay, and also this part. Let's skip it. Conclusion. So, for the last part, you need to attract the others to buy your product. That's why we will have a very short closing to appeal to the reader. What we usually do is we say something like I recommend that we do something, or I recommend that you buy something, you get something as I believe or as we believe. You're persuading someone so you need to tell others why they need to get this product so as we believe it has great potential and could be a top seller for us this coming spring given the right marketing here you see the blue uh line what does it mean what did the writer use Tina what did the writer use? Blue the blue part.</t>
    <phoneticPr fontId="2" type="noConversion"/>
  </si>
  <si>
    <t>Is can a modal verb? What about must? Is it a modal verb? Kitty nodded. Okay, so modal verbs could, should, can, would, must, etc. Okay, let's look at this second part of the inner mirror description. What did I use in this sentence? You see here we highly recommend so this is the same as the model here we highly recommend that you buy or you do something buy this product as remember to give a reason okay as it as a partner who can boost your confidence and let you discover more of yourself any modal verbs you can find here? Which line? Line 1, 2, 3, 4. Aiden?</t>
    <phoneticPr fontId="2" type="noConversion"/>
  </si>
  <si>
    <t>Not maybe can, but can. Can is a modal verb. Come on. Okay, so this is how we can write the description for the inner mirror or other products. Next up, we have another product. But before that, there are some useful phrases I would like to go through with you. These two, these two are useful. So can you draw a star next to it? Given or in view of or considering the problems we have been experiencing with. So what does in view of mean? Any student who know that? Lucy, do you know that? It means what of 2 words. Be… Okay, never mind, you're still falling for. In view of means because of. Write it down, because of. So because of the problems we have been experiencing with, what is the topic for today?</t>
    <phoneticPr fontId="2" type="noConversion"/>
  </si>
  <si>
    <t>Yeah, viola, that's good. Appearance anxiety. So because of the problems we have been experiencing with appearance anxiety, make sure you have a comma. Comma, okay? Because of this problem, we have invented the inner mirror for you guys. Next, given or considering that we have been experiencing problems with, so similar to the first sentence. Okay, next. When you mix suggestions or you introduce the benefits of the product, you can use these terms. So can you also draw a circle? Or a star next to them it will be beneficial or it will be of benefit to do something write down to do something so we need to use a verb a major another and additional advantage of this is or would be that you can blah blah blah. So let me give you a sentence. A major advantage of the inner mirror is you can discover yourself or you can do reflection. Who can give me one example sentence using this expression? Sherry can you have a go using the last one? Okay, stand up first.</t>
    <phoneticPr fontId="2" type="noConversion"/>
  </si>
  <si>
    <t>As it is a product that can boost your confidence. Okay, that's good. A major advantage of going back to school is you have a delicious lunch waiting for you. Okay, don't act like that. Yeah, so this is how you use the sentence, okay? Next, we have another product, but at this time I may need your help. Comfort Charm. Here we have a padlet link. Please scan it first. Okay, everyone got in the Padlet, including the teachers. Okay. So on this Padlet, you can see my example in the mirror, and we have another section called Comfort Charm. So I'll give you two minutes to brainstorm the features, the things you think Comfort Charm should have. You know a charm, we wear them on our hands. So how does this help our students or schoolmates with appearance anxiety? Okay, can you try to brainstorm it in two minutes? And after that, you can type your ideas on the palette. One sentence or three to four words will be enough. Two minutes.</t>
    <phoneticPr fontId="2" type="noConversion"/>
  </si>
  <si>
    <t>Okay, providing comfort to users. Shall we use partner because you wear it on your wrist or an accessory or a partner to comfort you and your friends. So this is the first sentence we have written. What about the second one? Can we use page three, the given in view of or considering that phrase? Can we use that? So let's use considering. Considering Considering what? Considering what is the problem we need to deal with here?</t>
    <phoneticPr fontId="2" type="noConversion"/>
  </si>
  <si>
    <t>Considering the problem of appearance anxiety, What is the punctuation mark we need to use? Comma, okay? Because here means because of the problem can you choose one which one do you like the most, I see most of you looking at the middle one, so I think it's Ella's idea, right? So, let's use Ella's idea. Play some relaxing music when users are stressed. Considering the problem of appearance anxiety, this charm can play some relaxing music when you are stressed. Okay, one last sentence. What is that? Can we write the concluding sentence, conclusion? We recommend, how do we end that? We recommend what? After recommend, we should use that. We recommend that you what? You're promoting this product, so you want them to buy it. Yes, very good. Buy this charm. But why am I buying this product? We need to add one word. As you remember? As or since. Okay one more reason here to provide what? To provide a feeling of safety. Okay let's use Sherry's idea since it gives you a feeling of safety. Okay, done. So this is how we write our description for the comfort charm. Okay, so, we have 10 groups today. Group 1 to group 5 is here and then group 6 to group 10 is here. Here's a little assignment for you tonight. So the next product on sale is called the pressure spray. Can you guess what it does? Think about the reason why people have appearance anxiety. You remember people have appearance anxiety because they want social acceptance, right? So pressure, where does it come from? Where does it come from? Steven.</t>
    <phoneticPr fontId="2" type="noConversion"/>
  </si>
  <si>
    <t>Okay, from others who talk about your appearance and they are your friends or what we call... What do we call that kind of pressure? Peer pressure, yes. So what does the pressure spray do? What can it do? You see the mist here when you spray it?</t>
    <phoneticPr fontId="2" type="noConversion"/>
  </si>
  <si>
    <t>Release what? Release pressure. Okay, that's up to your own imagination. So tonight you can think about what this pressure spray does to people who have appearance anxiety. Okay, next item. A social smartwatch. Hey, what can it do for the students who have appearance anxiety? Why are we buying this social smartwatch? Anyone from this side, group one to group five? Kitty, do you have any ideas? Or Tony, do you have any ideas? What can a smartwatch do? A lot of things like counting time, letting you message others. But what about this one with appearance anxiety? Think. Try to be creative. Viola, do you have any ideas? If you wear this watch, what can you do with your friends?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</si>
</sst>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indexed="8"/>
      <name val="等线"/>
      <family val="2"/>
      <scheme val="minor"/>
    </font>
    <font>
      <sz val="12"/>
      <color indexed="8"/>
      <name val="Times New Roman"/>
      <family val="1"/>
    </font>
    <font>
      <sz val="9"/>
      <name val="等线"/>
      <family val="3"/>
      <charset val="134"/>
      <scheme val="minor"/>
    </font>
    <font>
      <b/>
      <sz val="12"/>
      <color theme="1"/>
      <name val="Calibri"/>
      <family val="2"/>
    </font>
    <font>
      <sz val="12"/>
      <color indexed="8"/>
      <name val="Helvetica"/>
      <family val="2"/>
    </font>
    <font>
      <sz val="11"/>
      <color indexed="8"/>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1" fillId="0" borderId="0" xfId="0" applyFont="1"/>
    <xf numFmtId="20" fontId="1" fillId="0" borderId="0" xfId="0" applyNumberFormat="1" applyFont="1"/>
    <xf numFmtId="49" fontId="1" fillId="0" borderId="0" xfId="0" applyNumberFormat="1" applyFont="1"/>
    <xf numFmtId="46" fontId="1" fillId="0" borderId="0" xfId="0" applyNumberFormat="1" applyFont="1"/>
    <xf numFmtId="0" fontId="3" fillId="0" borderId="0" xfId="0" applyFont="1" applyAlignment="1">
      <alignment vertical="center"/>
    </xf>
    <xf numFmtId="0" fontId="4" fillId="0" borderId="0" xfId="0" applyFont="1"/>
    <xf numFmtId="0" fontId="5" fillId="0" borderId="0" xfId="0" applyFont="1"/>
    <xf numFmtId="0" fontId="3"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8"/>
  <sheetViews>
    <sheetView tabSelected="1" topLeftCell="D1" zoomScale="91" zoomScaleNormal="204" workbookViewId="0">
      <pane ySplit="2" topLeftCell="A92" activePane="bottomLeft" state="frozen"/>
      <selection pane="bottomLeft" activeCell="K111" sqref="K111"/>
    </sheetView>
  </sheetViews>
  <sheetFormatPr baseColWidth="10" defaultColWidth="9.1640625" defaultRowHeight="16"/>
  <cols>
    <col min="1" max="1" width="9.1640625" style="4"/>
    <col min="2" max="2" width="12.1640625" style="2" customWidth="1"/>
    <col min="3" max="3" width="9.1640625" style="2"/>
    <col min="4" max="4" width="20.5" style="2" customWidth="1"/>
    <col min="5" max="7" width="9.1640625" style="2"/>
    <col min="8" max="8" width="9.1640625" style="2" customWidth="1"/>
    <col min="9" max="16384" width="9.1640625" style="2"/>
  </cols>
  <sheetData>
    <row r="1" spans="1:13">
      <c r="A1" s="9" t="s">
        <v>289</v>
      </c>
      <c r="B1" s="9" t="s">
        <v>290</v>
      </c>
      <c r="C1" s="9" t="s">
        <v>291</v>
      </c>
      <c r="D1" s="9" t="s">
        <v>292</v>
      </c>
      <c r="E1" s="9" t="s">
        <v>279</v>
      </c>
      <c r="F1" s="9" t="s">
        <v>280</v>
      </c>
      <c r="G1" s="9"/>
      <c r="H1" s="9"/>
      <c r="I1" s="9"/>
      <c r="J1" s="9"/>
      <c r="K1" s="9"/>
      <c r="L1" s="9"/>
      <c r="M1" s="9"/>
    </row>
    <row r="2" spans="1:13">
      <c r="A2" s="9"/>
      <c r="B2" s="9"/>
      <c r="C2" s="9"/>
      <c r="D2" s="9"/>
      <c r="E2" s="9"/>
      <c r="F2" s="6" t="s">
        <v>281</v>
      </c>
      <c r="G2" s="6" t="s">
        <v>282</v>
      </c>
      <c r="H2" s="6" t="s">
        <v>283</v>
      </c>
      <c r="I2" s="6" t="s">
        <v>284</v>
      </c>
      <c r="J2" s="6" t="s">
        <v>285</v>
      </c>
      <c r="K2" s="6" t="s">
        <v>286</v>
      </c>
      <c r="L2" s="6" t="s">
        <v>287</v>
      </c>
      <c r="M2" s="6" t="s">
        <v>288</v>
      </c>
    </row>
    <row r="3" spans="1:13">
      <c r="A3" s="4" t="s">
        <v>0</v>
      </c>
      <c r="B3" s="2" t="s">
        <v>32</v>
      </c>
      <c r="C3" s="2" t="s">
        <v>27</v>
      </c>
      <c r="D3" s="2" t="s">
        <v>29</v>
      </c>
      <c r="E3" s="7">
        <f>LEN(D3)-LEN(SUBSTITUTE(D3," ",""))+1</f>
        <v>1</v>
      </c>
    </row>
    <row r="4" spans="1:13">
      <c r="A4" s="4" t="s">
        <v>1</v>
      </c>
      <c r="B4" s="2" t="s">
        <v>120</v>
      </c>
      <c r="C4" s="2" t="s">
        <v>30</v>
      </c>
      <c r="D4" s="2" t="s">
        <v>103</v>
      </c>
      <c r="E4" s="7">
        <f t="shared" ref="E4:E67" si="0">LEN(D4)-LEN(SUBSTITUTE(D4," ",""))+1</f>
        <v>8</v>
      </c>
    </row>
    <row r="5" spans="1:13">
      <c r="A5" s="4" t="s">
        <v>2</v>
      </c>
      <c r="B5" s="2" t="s">
        <v>121</v>
      </c>
      <c r="C5" s="2" t="s">
        <v>116</v>
      </c>
      <c r="D5" s="2" t="s">
        <v>104</v>
      </c>
      <c r="E5" s="7">
        <f t="shared" si="0"/>
        <v>4</v>
      </c>
    </row>
    <row r="6" spans="1:13">
      <c r="A6" s="4" t="s">
        <v>3</v>
      </c>
      <c r="B6" s="2" t="s">
        <v>123</v>
      </c>
      <c r="C6" s="2" t="s">
        <v>27</v>
      </c>
      <c r="D6" s="2" t="s">
        <v>122</v>
      </c>
      <c r="E6" s="7">
        <f t="shared" si="0"/>
        <v>4</v>
      </c>
    </row>
    <row r="7" spans="1:13">
      <c r="A7" s="4" t="s">
        <v>4</v>
      </c>
      <c r="B7" s="2" t="s">
        <v>124</v>
      </c>
      <c r="C7" s="2" t="s">
        <v>117</v>
      </c>
      <c r="D7" s="2" t="s">
        <v>105</v>
      </c>
      <c r="E7" s="7">
        <f t="shared" si="0"/>
        <v>3</v>
      </c>
    </row>
    <row r="8" spans="1:13">
      <c r="A8" s="4" t="s">
        <v>5</v>
      </c>
      <c r="B8" s="2" t="s">
        <v>125</v>
      </c>
      <c r="C8" s="2" t="s">
        <v>116</v>
      </c>
      <c r="D8" s="2" t="s">
        <v>106</v>
      </c>
      <c r="E8" s="7">
        <f t="shared" si="0"/>
        <v>3</v>
      </c>
    </row>
    <row r="9" spans="1:13">
      <c r="A9" s="4" t="s">
        <v>6</v>
      </c>
      <c r="B9" s="3" t="s">
        <v>126</v>
      </c>
      <c r="C9" s="2" t="s">
        <v>30</v>
      </c>
      <c r="D9" s="2" t="s">
        <v>107</v>
      </c>
      <c r="E9" s="7">
        <f t="shared" si="0"/>
        <v>11</v>
      </c>
    </row>
    <row r="10" spans="1:13">
      <c r="A10" s="4" t="s">
        <v>7</v>
      </c>
      <c r="B10" s="2" t="s">
        <v>127</v>
      </c>
      <c r="C10" s="2" t="s">
        <v>116</v>
      </c>
      <c r="D10" s="2" t="s">
        <v>108</v>
      </c>
      <c r="E10" s="7">
        <f t="shared" si="0"/>
        <v>2</v>
      </c>
    </row>
    <row r="11" spans="1:13">
      <c r="A11" s="4" t="s">
        <v>8</v>
      </c>
      <c r="B11" s="2" t="s">
        <v>128</v>
      </c>
      <c r="C11" s="2" t="s">
        <v>30</v>
      </c>
      <c r="D11" s="1" t="s">
        <v>299</v>
      </c>
      <c r="E11" s="7">
        <f t="shared" si="0"/>
        <v>73</v>
      </c>
    </row>
    <row r="12" spans="1:13">
      <c r="A12" s="4" t="s">
        <v>9</v>
      </c>
      <c r="B12" s="2" t="s">
        <v>129</v>
      </c>
      <c r="C12" s="2" t="s">
        <v>118</v>
      </c>
      <c r="D12" s="1" t="s">
        <v>109</v>
      </c>
      <c r="E12" s="7">
        <f t="shared" si="0"/>
        <v>1</v>
      </c>
    </row>
    <row r="13" spans="1:13">
      <c r="A13" s="4" t="s">
        <v>10</v>
      </c>
      <c r="B13" s="2" t="s">
        <v>130</v>
      </c>
      <c r="C13" s="2" t="s">
        <v>30</v>
      </c>
      <c r="D13" s="1" t="s">
        <v>110</v>
      </c>
      <c r="E13" s="7">
        <f t="shared" si="0"/>
        <v>34</v>
      </c>
      <c r="L13" s="2">
        <v>1</v>
      </c>
    </row>
    <row r="14" spans="1:13">
      <c r="A14" s="4" t="s">
        <v>12</v>
      </c>
      <c r="B14" s="2" t="s">
        <v>131</v>
      </c>
      <c r="C14" s="2" t="s">
        <v>119</v>
      </c>
      <c r="D14" s="1" t="s">
        <v>111</v>
      </c>
      <c r="E14" s="7">
        <f t="shared" si="0"/>
        <v>1</v>
      </c>
    </row>
    <row r="15" spans="1:13">
      <c r="A15" s="4">
        <v>13</v>
      </c>
      <c r="B15" s="2" t="s">
        <v>132</v>
      </c>
      <c r="C15" s="2" t="s">
        <v>30</v>
      </c>
      <c r="D15" s="1" t="s">
        <v>112</v>
      </c>
      <c r="E15" s="7">
        <f t="shared" si="0"/>
        <v>28</v>
      </c>
    </row>
    <row r="16" spans="1:13">
      <c r="A16" s="4" t="s">
        <v>13</v>
      </c>
      <c r="B16" s="2" t="s">
        <v>133</v>
      </c>
      <c r="C16" s="2" t="s">
        <v>33</v>
      </c>
      <c r="D16" s="1" t="s">
        <v>113</v>
      </c>
      <c r="E16" s="7">
        <f t="shared" si="0"/>
        <v>1</v>
      </c>
    </row>
    <row r="17" spans="1:12">
      <c r="A17" s="4" t="s">
        <v>14</v>
      </c>
      <c r="B17" s="2" t="s">
        <v>134</v>
      </c>
      <c r="C17" s="2" t="s">
        <v>30</v>
      </c>
      <c r="D17" s="1" t="s">
        <v>114</v>
      </c>
      <c r="E17" s="7">
        <f t="shared" si="0"/>
        <v>13</v>
      </c>
      <c r="F17" s="2">
        <v>1</v>
      </c>
    </row>
    <row r="18" spans="1:12">
      <c r="A18" s="4" t="s">
        <v>16</v>
      </c>
      <c r="B18" s="2" t="s">
        <v>135</v>
      </c>
      <c r="C18" s="2" t="s">
        <v>33</v>
      </c>
      <c r="D18" s="1" t="s">
        <v>115</v>
      </c>
      <c r="E18" s="7">
        <f t="shared" si="0"/>
        <v>2</v>
      </c>
    </row>
    <row r="19" spans="1:12">
      <c r="A19" s="4" t="s">
        <v>17</v>
      </c>
      <c r="B19" s="2" t="s">
        <v>154</v>
      </c>
      <c r="C19" s="2" t="s">
        <v>30</v>
      </c>
      <c r="D19" s="1" t="s">
        <v>155</v>
      </c>
      <c r="E19" s="7">
        <f t="shared" si="0"/>
        <v>90</v>
      </c>
    </row>
    <row r="20" spans="1:12">
      <c r="A20" s="4" t="s">
        <v>18</v>
      </c>
      <c r="B20" s="2" t="s">
        <v>137</v>
      </c>
      <c r="C20" s="2" t="s">
        <v>27</v>
      </c>
      <c r="D20" s="1" t="s">
        <v>31</v>
      </c>
      <c r="E20" s="7">
        <f t="shared" si="0"/>
        <v>2</v>
      </c>
    </row>
    <row r="21" spans="1:12">
      <c r="A21" s="4" t="s">
        <v>19</v>
      </c>
      <c r="B21" s="2" t="s">
        <v>138</v>
      </c>
      <c r="C21" s="2" t="s">
        <v>30</v>
      </c>
      <c r="D21" s="1" t="s">
        <v>136</v>
      </c>
      <c r="E21" s="7">
        <f t="shared" si="0"/>
        <v>34</v>
      </c>
    </row>
    <row r="22" spans="1:12">
      <c r="A22" s="4" t="s">
        <v>20</v>
      </c>
      <c r="B22" s="2" t="s">
        <v>139</v>
      </c>
      <c r="C22" s="2" t="s">
        <v>27</v>
      </c>
      <c r="D22" s="1" t="s">
        <v>31</v>
      </c>
      <c r="E22" s="7">
        <f t="shared" si="0"/>
        <v>2</v>
      </c>
    </row>
    <row r="23" spans="1:12">
      <c r="A23" s="4" t="s">
        <v>21</v>
      </c>
      <c r="B23" s="2" t="s">
        <v>140</v>
      </c>
      <c r="C23" s="2" t="s">
        <v>30</v>
      </c>
      <c r="D23" s="1" t="s">
        <v>143</v>
      </c>
      <c r="E23" s="7">
        <f t="shared" si="0"/>
        <v>130</v>
      </c>
    </row>
    <row r="24" spans="1:12">
      <c r="A24" s="4" t="s">
        <v>22</v>
      </c>
      <c r="B24" s="2" t="s">
        <v>141</v>
      </c>
      <c r="C24" s="2" t="s">
        <v>144</v>
      </c>
      <c r="D24" s="1" t="s">
        <v>142</v>
      </c>
      <c r="E24" s="7">
        <f t="shared" si="0"/>
        <v>5</v>
      </c>
    </row>
    <row r="25" spans="1:12">
      <c r="A25" s="4" t="s">
        <v>23</v>
      </c>
      <c r="B25" s="2" t="s">
        <v>156</v>
      </c>
      <c r="C25" s="2" t="s">
        <v>30</v>
      </c>
      <c r="D25" s="1" t="s">
        <v>145</v>
      </c>
      <c r="E25" s="7">
        <f t="shared" si="0"/>
        <v>4</v>
      </c>
      <c r="F25" s="2">
        <v>1</v>
      </c>
    </row>
    <row r="26" spans="1:12">
      <c r="A26" s="4" t="s">
        <v>24</v>
      </c>
      <c r="B26" s="2" t="s">
        <v>157</v>
      </c>
      <c r="C26" s="2" t="s">
        <v>144</v>
      </c>
      <c r="D26" s="1" t="s">
        <v>146</v>
      </c>
      <c r="E26" s="7">
        <f t="shared" si="0"/>
        <v>6</v>
      </c>
    </row>
    <row r="27" spans="1:12">
      <c r="A27" s="4" t="s">
        <v>25</v>
      </c>
      <c r="B27" s="2" t="s">
        <v>158</v>
      </c>
      <c r="C27" s="2" t="s">
        <v>30</v>
      </c>
      <c r="D27" s="1" t="s">
        <v>300</v>
      </c>
      <c r="E27" s="7">
        <f t="shared" si="0"/>
        <v>43</v>
      </c>
      <c r="L27" s="2">
        <v>1</v>
      </c>
    </row>
    <row r="28" spans="1:12">
      <c r="A28" s="4" t="s">
        <v>26</v>
      </c>
      <c r="B28" s="2" t="s">
        <v>159</v>
      </c>
      <c r="C28" s="2" t="s">
        <v>147</v>
      </c>
      <c r="D28" s="1" t="s">
        <v>148</v>
      </c>
      <c r="E28" s="7">
        <f t="shared" si="0"/>
        <v>17</v>
      </c>
    </row>
    <row r="29" spans="1:12">
      <c r="A29" s="4" t="s">
        <v>28</v>
      </c>
      <c r="B29" s="2" t="s">
        <v>160</v>
      </c>
      <c r="C29" s="2" t="s">
        <v>30</v>
      </c>
      <c r="D29" s="2" t="s">
        <v>301</v>
      </c>
      <c r="E29" s="7">
        <f t="shared" si="0"/>
        <v>325</v>
      </c>
    </row>
    <row r="30" spans="1:12">
      <c r="A30" s="4" t="s">
        <v>34</v>
      </c>
      <c r="B30" s="2" t="s">
        <v>161</v>
      </c>
      <c r="C30" s="2" t="s">
        <v>149</v>
      </c>
      <c r="D30" s="1" t="s">
        <v>302</v>
      </c>
      <c r="E30" s="7">
        <f t="shared" si="0"/>
        <v>13</v>
      </c>
    </row>
    <row r="31" spans="1:12">
      <c r="A31" s="4" t="s">
        <v>35</v>
      </c>
      <c r="B31" s="2" t="s">
        <v>162</v>
      </c>
      <c r="C31" s="2" t="s">
        <v>30</v>
      </c>
      <c r="D31" s="1" t="s">
        <v>303</v>
      </c>
      <c r="E31" s="7">
        <f t="shared" si="0"/>
        <v>67</v>
      </c>
      <c r="L31" s="2">
        <v>1</v>
      </c>
    </row>
    <row r="32" spans="1:12">
      <c r="A32" s="4" t="s">
        <v>36</v>
      </c>
      <c r="B32" s="2" t="s">
        <v>163</v>
      </c>
      <c r="C32" s="2" t="s">
        <v>167</v>
      </c>
      <c r="D32" s="1" t="s">
        <v>150</v>
      </c>
      <c r="E32" s="7">
        <f t="shared" si="0"/>
        <v>1</v>
      </c>
    </row>
    <row r="33" spans="1:12">
      <c r="A33" s="4" t="s">
        <v>37</v>
      </c>
      <c r="B33" s="2" t="s">
        <v>164</v>
      </c>
      <c r="C33" s="2" t="s">
        <v>30</v>
      </c>
      <c r="D33" s="1" t="s">
        <v>304</v>
      </c>
      <c r="E33" s="7">
        <f t="shared" si="0"/>
        <v>111</v>
      </c>
    </row>
    <row r="34" spans="1:12">
      <c r="A34" s="4" t="s">
        <v>38</v>
      </c>
      <c r="B34" s="2" t="s">
        <v>165</v>
      </c>
      <c r="C34" s="2" t="s">
        <v>152</v>
      </c>
      <c r="D34" s="1" t="s">
        <v>151</v>
      </c>
      <c r="E34" s="7">
        <f t="shared" si="0"/>
        <v>11</v>
      </c>
    </row>
    <row r="35" spans="1:12">
      <c r="A35" s="4" t="s">
        <v>39</v>
      </c>
      <c r="B35" s="2" t="s">
        <v>166</v>
      </c>
      <c r="C35" s="2" t="s">
        <v>30</v>
      </c>
      <c r="D35" s="2" t="s">
        <v>153</v>
      </c>
      <c r="E35" s="7">
        <f t="shared" si="0"/>
        <v>33</v>
      </c>
      <c r="L35" s="2">
        <v>1</v>
      </c>
    </row>
    <row r="36" spans="1:12">
      <c r="A36" s="4" t="s">
        <v>40</v>
      </c>
      <c r="B36" s="2" t="s">
        <v>168</v>
      </c>
      <c r="C36" s="2" t="s">
        <v>176</v>
      </c>
      <c r="D36" s="2" t="s">
        <v>169</v>
      </c>
      <c r="E36" s="7">
        <f t="shared" si="0"/>
        <v>3</v>
      </c>
    </row>
    <row r="37" spans="1:12">
      <c r="A37" s="4" t="s">
        <v>41</v>
      </c>
      <c r="B37" s="2" t="s">
        <v>170</v>
      </c>
      <c r="C37" s="2" t="s">
        <v>30</v>
      </c>
      <c r="D37" s="1" t="s">
        <v>172</v>
      </c>
      <c r="E37" s="7">
        <f t="shared" si="0"/>
        <v>46</v>
      </c>
      <c r="F37" s="2">
        <v>1</v>
      </c>
    </row>
    <row r="38" spans="1:12">
      <c r="A38" s="4" t="s">
        <v>42</v>
      </c>
      <c r="B38" s="2" t="s">
        <v>171</v>
      </c>
      <c r="C38" s="2" t="s">
        <v>176</v>
      </c>
      <c r="D38" s="1" t="s">
        <v>173</v>
      </c>
      <c r="E38" s="7">
        <f t="shared" si="0"/>
        <v>8</v>
      </c>
    </row>
    <row r="39" spans="1:12">
      <c r="A39" s="4" t="s">
        <v>43</v>
      </c>
      <c r="B39" s="2" t="s">
        <v>174</v>
      </c>
      <c r="C39" s="2" t="s">
        <v>30</v>
      </c>
      <c r="D39" s="2" t="s">
        <v>305</v>
      </c>
      <c r="E39" s="7">
        <f t="shared" si="0"/>
        <v>242</v>
      </c>
    </row>
    <row r="40" spans="1:12">
      <c r="A40" s="4" t="s">
        <v>44</v>
      </c>
      <c r="B40" s="2" t="s">
        <v>175</v>
      </c>
      <c r="C40" s="2" t="s">
        <v>27</v>
      </c>
      <c r="D40" s="1" t="s">
        <v>31</v>
      </c>
      <c r="E40" s="7">
        <f t="shared" si="0"/>
        <v>2</v>
      </c>
    </row>
    <row r="41" spans="1:12">
      <c r="A41" s="4" t="s">
        <v>45</v>
      </c>
      <c r="B41" s="3" t="s">
        <v>177</v>
      </c>
      <c r="C41" s="2" t="s">
        <v>30</v>
      </c>
      <c r="D41" s="2" t="s">
        <v>178</v>
      </c>
      <c r="E41" s="7">
        <f t="shared" si="0"/>
        <v>17</v>
      </c>
    </row>
    <row r="42" spans="1:12">
      <c r="A42" s="4" t="s">
        <v>46</v>
      </c>
      <c r="B42" s="3" t="s">
        <v>193</v>
      </c>
      <c r="C42" s="2" t="s">
        <v>191</v>
      </c>
      <c r="D42" s="1" t="s">
        <v>179</v>
      </c>
      <c r="E42" s="7">
        <f t="shared" si="0"/>
        <v>12</v>
      </c>
    </row>
    <row r="43" spans="1:12">
      <c r="A43" s="4" t="s">
        <v>47</v>
      </c>
      <c r="B43" s="2" t="s">
        <v>194</v>
      </c>
      <c r="C43" s="2" t="s">
        <v>30</v>
      </c>
      <c r="D43" s="1" t="s">
        <v>306</v>
      </c>
      <c r="E43" s="7">
        <f t="shared" si="0"/>
        <v>45</v>
      </c>
      <c r="L43" s="2">
        <v>1</v>
      </c>
    </row>
    <row r="44" spans="1:12">
      <c r="A44" s="4" t="s">
        <v>48</v>
      </c>
      <c r="B44" s="2" t="s">
        <v>195</v>
      </c>
      <c r="C44" s="2" t="s">
        <v>144</v>
      </c>
      <c r="D44" s="1" t="s">
        <v>180</v>
      </c>
      <c r="E44" s="7">
        <f t="shared" si="0"/>
        <v>7</v>
      </c>
    </row>
    <row r="45" spans="1:12">
      <c r="A45" s="4" t="s">
        <v>49</v>
      </c>
      <c r="B45" s="2" t="s">
        <v>196</v>
      </c>
      <c r="C45" s="2" t="s">
        <v>30</v>
      </c>
      <c r="D45" s="1" t="s">
        <v>307</v>
      </c>
      <c r="E45" s="7">
        <f t="shared" si="0"/>
        <v>155</v>
      </c>
    </row>
    <row r="46" spans="1:12">
      <c r="A46" s="4" t="s">
        <v>50</v>
      </c>
      <c r="B46" s="2" t="s">
        <v>197</v>
      </c>
      <c r="C46" s="2" t="s">
        <v>192</v>
      </c>
      <c r="D46" s="1" t="s">
        <v>181</v>
      </c>
      <c r="E46" s="7">
        <f t="shared" si="0"/>
        <v>2</v>
      </c>
    </row>
    <row r="47" spans="1:12">
      <c r="A47" s="4" t="s">
        <v>51</v>
      </c>
      <c r="B47" s="2" t="s">
        <v>198</v>
      </c>
      <c r="C47" s="2" t="s">
        <v>30</v>
      </c>
      <c r="D47" s="1" t="s">
        <v>182</v>
      </c>
      <c r="E47" s="7">
        <f t="shared" si="0"/>
        <v>10</v>
      </c>
      <c r="I47" s="2">
        <v>1</v>
      </c>
    </row>
    <row r="48" spans="1:12">
      <c r="A48" s="4" t="s">
        <v>52</v>
      </c>
      <c r="B48" s="2" t="s">
        <v>199</v>
      </c>
      <c r="C48" s="2" t="s">
        <v>192</v>
      </c>
      <c r="D48" s="1" t="s">
        <v>183</v>
      </c>
      <c r="E48" s="7">
        <f t="shared" si="0"/>
        <v>2</v>
      </c>
    </row>
    <row r="49" spans="1:6">
      <c r="A49" s="4" t="s">
        <v>53</v>
      </c>
      <c r="B49" s="2" t="s">
        <v>200</v>
      </c>
      <c r="C49" s="2" t="s">
        <v>30</v>
      </c>
      <c r="D49" s="1" t="s">
        <v>184</v>
      </c>
      <c r="E49" s="7">
        <f t="shared" si="0"/>
        <v>3</v>
      </c>
    </row>
    <row r="50" spans="1:6">
      <c r="A50" s="4" t="s">
        <v>54</v>
      </c>
      <c r="B50" s="2" t="s">
        <v>201</v>
      </c>
      <c r="C50" s="2" t="s">
        <v>30</v>
      </c>
      <c r="D50" s="1" t="s">
        <v>185</v>
      </c>
      <c r="E50" s="7">
        <f t="shared" si="0"/>
        <v>20</v>
      </c>
      <c r="F50" s="2">
        <v>1</v>
      </c>
    </row>
    <row r="51" spans="1:6">
      <c r="A51" s="4" t="s">
        <v>55</v>
      </c>
      <c r="B51" s="2" t="s">
        <v>202</v>
      </c>
      <c r="C51" s="2" t="s">
        <v>192</v>
      </c>
      <c r="D51" s="1" t="s">
        <v>186</v>
      </c>
      <c r="E51" s="7">
        <f t="shared" si="0"/>
        <v>1</v>
      </c>
    </row>
    <row r="52" spans="1:6">
      <c r="A52" s="4" t="s">
        <v>56</v>
      </c>
      <c r="B52" s="3" t="s">
        <v>203</v>
      </c>
      <c r="C52" s="2" t="s">
        <v>30</v>
      </c>
      <c r="D52" s="1" t="s">
        <v>187</v>
      </c>
      <c r="E52" s="7">
        <f t="shared" si="0"/>
        <v>4</v>
      </c>
      <c r="F52" s="2">
        <v>1</v>
      </c>
    </row>
    <row r="53" spans="1:6">
      <c r="A53" s="4" t="s">
        <v>57</v>
      </c>
      <c r="B53" s="3" t="s">
        <v>205</v>
      </c>
      <c r="C53" s="2" t="s">
        <v>27</v>
      </c>
      <c r="D53" s="1" t="s">
        <v>29</v>
      </c>
      <c r="E53" s="7">
        <f t="shared" si="0"/>
        <v>1</v>
      </c>
    </row>
    <row r="54" spans="1:6">
      <c r="A54" s="4" t="s">
        <v>58</v>
      </c>
      <c r="B54" s="2" t="s">
        <v>204</v>
      </c>
      <c r="C54" s="2" t="s">
        <v>30</v>
      </c>
      <c r="D54" s="1" t="s">
        <v>308</v>
      </c>
      <c r="E54" s="7">
        <f t="shared" si="0"/>
        <v>111</v>
      </c>
    </row>
    <row r="55" spans="1:6">
      <c r="A55" s="4" t="s">
        <v>59</v>
      </c>
      <c r="B55" s="2" t="s">
        <v>206</v>
      </c>
      <c r="C55" s="2" t="s">
        <v>33</v>
      </c>
      <c r="D55" s="1" t="s">
        <v>188</v>
      </c>
      <c r="E55" s="7">
        <f t="shared" si="0"/>
        <v>1</v>
      </c>
    </row>
    <row r="56" spans="1:6">
      <c r="A56" s="4" t="s">
        <v>60</v>
      </c>
      <c r="B56" s="2" t="s">
        <v>207</v>
      </c>
      <c r="C56" s="2" t="s">
        <v>30</v>
      </c>
      <c r="D56" s="1" t="s">
        <v>189</v>
      </c>
      <c r="E56" s="7">
        <f t="shared" si="0"/>
        <v>1</v>
      </c>
      <c r="F56" s="2">
        <v>1</v>
      </c>
    </row>
    <row r="57" spans="1:6">
      <c r="A57" s="4" t="s">
        <v>61</v>
      </c>
      <c r="B57" s="2" t="s">
        <v>208</v>
      </c>
      <c r="C57" s="2" t="s">
        <v>33</v>
      </c>
      <c r="D57" s="1" t="s">
        <v>190</v>
      </c>
      <c r="E57" s="7">
        <f t="shared" si="0"/>
        <v>1</v>
      </c>
    </row>
    <row r="58" spans="1:6">
      <c r="A58" s="4" t="s">
        <v>62</v>
      </c>
      <c r="B58" s="2" t="s">
        <v>209</v>
      </c>
      <c r="C58" s="2" t="s">
        <v>30</v>
      </c>
      <c r="D58" s="1" t="s">
        <v>309</v>
      </c>
      <c r="E58" s="7">
        <f t="shared" si="0"/>
        <v>138</v>
      </c>
    </row>
    <row r="59" spans="1:6">
      <c r="A59" s="4" t="s">
        <v>63</v>
      </c>
      <c r="B59" s="2" t="s">
        <v>210</v>
      </c>
      <c r="C59" s="2" t="s">
        <v>212</v>
      </c>
      <c r="D59" s="1" t="s">
        <v>115</v>
      </c>
      <c r="E59" s="7">
        <f t="shared" si="0"/>
        <v>2</v>
      </c>
    </row>
    <row r="60" spans="1:6">
      <c r="A60" s="4" t="s">
        <v>64</v>
      </c>
      <c r="B60" s="2" t="s">
        <v>218</v>
      </c>
      <c r="C60" s="2" t="s">
        <v>30</v>
      </c>
      <c r="D60" s="1" t="s">
        <v>310</v>
      </c>
      <c r="E60" s="7">
        <f t="shared" si="0"/>
        <v>179</v>
      </c>
    </row>
    <row r="61" spans="1:6">
      <c r="A61" s="4" t="s">
        <v>65</v>
      </c>
      <c r="B61" s="2" t="s">
        <v>219</v>
      </c>
      <c r="C61" s="2" t="s">
        <v>211</v>
      </c>
      <c r="D61" s="1" t="s">
        <v>213</v>
      </c>
      <c r="E61" s="7">
        <f t="shared" si="0"/>
        <v>5</v>
      </c>
    </row>
    <row r="62" spans="1:6">
      <c r="A62" s="4" t="s">
        <v>66</v>
      </c>
      <c r="B62" s="2" t="s">
        <v>220</v>
      </c>
      <c r="C62" s="2" t="s">
        <v>30</v>
      </c>
      <c r="D62" s="1" t="s">
        <v>214</v>
      </c>
      <c r="E62" s="7">
        <f t="shared" si="0"/>
        <v>4</v>
      </c>
    </row>
    <row r="63" spans="1:6">
      <c r="A63" s="4" t="s">
        <v>67</v>
      </c>
      <c r="B63" s="2" t="s">
        <v>221</v>
      </c>
      <c r="C63" s="2" t="s">
        <v>211</v>
      </c>
      <c r="D63" s="1" t="s">
        <v>215</v>
      </c>
      <c r="E63" s="7">
        <f t="shared" si="0"/>
        <v>4</v>
      </c>
    </row>
    <row r="64" spans="1:6">
      <c r="A64" s="4" t="s">
        <v>68</v>
      </c>
      <c r="B64" s="2" t="s">
        <v>222</v>
      </c>
      <c r="C64" s="2" t="s">
        <v>30</v>
      </c>
      <c r="D64" s="1" t="s">
        <v>216</v>
      </c>
      <c r="E64" s="7">
        <f t="shared" si="0"/>
        <v>3</v>
      </c>
    </row>
    <row r="65" spans="1:7">
      <c r="A65" s="4" t="s">
        <v>69</v>
      </c>
      <c r="B65" s="2" t="s">
        <v>223</v>
      </c>
      <c r="C65" s="2" t="s">
        <v>211</v>
      </c>
      <c r="D65" s="1" t="s">
        <v>217</v>
      </c>
      <c r="E65" s="7">
        <f t="shared" si="0"/>
        <v>15</v>
      </c>
    </row>
    <row r="66" spans="1:7">
      <c r="A66" s="4" t="s">
        <v>70</v>
      </c>
      <c r="B66" s="3" t="s">
        <v>224</v>
      </c>
      <c r="C66" s="2" t="s">
        <v>30</v>
      </c>
      <c r="D66" s="2" t="s">
        <v>311</v>
      </c>
      <c r="E66" s="7">
        <f t="shared" si="0"/>
        <v>174</v>
      </c>
    </row>
    <row r="67" spans="1:7">
      <c r="A67" s="4" t="s">
        <v>71</v>
      </c>
      <c r="B67" s="2" t="s">
        <v>225</v>
      </c>
      <c r="C67" s="2" t="s">
        <v>27</v>
      </c>
      <c r="D67" s="1" t="s">
        <v>31</v>
      </c>
      <c r="E67" s="7">
        <f t="shared" si="0"/>
        <v>2</v>
      </c>
    </row>
    <row r="68" spans="1:7">
      <c r="A68" s="4" t="s">
        <v>72</v>
      </c>
      <c r="B68" s="2" t="s">
        <v>228</v>
      </c>
      <c r="C68" s="2" t="s">
        <v>30</v>
      </c>
      <c r="D68" s="1" t="s">
        <v>226</v>
      </c>
      <c r="E68" s="7">
        <f t="shared" ref="E68:E98" si="1">LEN(D68)-LEN(SUBSTITUTE(D68," ",""))+1</f>
        <v>8</v>
      </c>
    </row>
    <row r="69" spans="1:7">
      <c r="A69" s="4" t="s">
        <v>73</v>
      </c>
      <c r="B69" s="2" t="s">
        <v>229</v>
      </c>
      <c r="C69" s="2" t="s">
        <v>27</v>
      </c>
      <c r="D69" s="1" t="s">
        <v>31</v>
      </c>
      <c r="E69" s="7">
        <f t="shared" si="1"/>
        <v>2</v>
      </c>
    </row>
    <row r="70" spans="1:7">
      <c r="A70" s="4" t="s">
        <v>74</v>
      </c>
      <c r="B70" s="2" t="s">
        <v>230</v>
      </c>
      <c r="C70" s="2" t="s">
        <v>30</v>
      </c>
      <c r="D70" s="1" t="s">
        <v>227</v>
      </c>
      <c r="E70" s="7">
        <f t="shared" si="1"/>
        <v>3</v>
      </c>
    </row>
    <row r="71" spans="1:7">
      <c r="A71" s="4" t="s">
        <v>75</v>
      </c>
      <c r="B71" s="2" t="s">
        <v>231</v>
      </c>
      <c r="C71" s="2" t="s">
        <v>27</v>
      </c>
      <c r="D71" s="1" t="s">
        <v>31</v>
      </c>
      <c r="E71" s="7">
        <f t="shared" si="1"/>
        <v>2</v>
      </c>
    </row>
    <row r="72" spans="1:7">
      <c r="A72" s="4" t="s">
        <v>76</v>
      </c>
      <c r="B72" s="2" t="s">
        <v>232</v>
      </c>
      <c r="C72" s="2" t="s">
        <v>30</v>
      </c>
      <c r="D72" s="1" t="s">
        <v>240</v>
      </c>
      <c r="E72" s="7">
        <f t="shared" si="1"/>
        <v>117</v>
      </c>
    </row>
    <row r="73" spans="1:7">
      <c r="A73" s="4" t="s">
        <v>77</v>
      </c>
      <c r="B73" s="2" t="s">
        <v>233</v>
      </c>
      <c r="C73" s="2" t="s">
        <v>144</v>
      </c>
      <c r="D73" s="1" t="s">
        <v>29</v>
      </c>
      <c r="E73" s="7">
        <f t="shared" si="1"/>
        <v>1</v>
      </c>
    </row>
    <row r="74" spans="1:7">
      <c r="A74" s="4" t="s">
        <v>78</v>
      </c>
      <c r="B74" s="2" t="s">
        <v>234</v>
      </c>
      <c r="C74" s="2" t="s">
        <v>30</v>
      </c>
      <c r="D74" s="1" t="s">
        <v>237</v>
      </c>
      <c r="E74" s="7">
        <f t="shared" si="1"/>
        <v>10</v>
      </c>
    </row>
    <row r="75" spans="1:7">
      <c r="A75" s="4" t="s">
        <v>79</v>
      </c>
      <c r="B75" s="2" t="s">
        <v>235</v>
      </c>
      <c r="C75" s="2" t="s">
        <v>144</v>
      </c>
      <c r="D75" s="1" t="s">
        <v>242</v>
      </c>
      <c r="E75" s="7">
        <f t="shared" si="1"/>
        <v>1</v>
      </c>
    </row>
    <row r="76" spans="1:7">
      <c r="A76" s="4" t="s">
        <v>80</v>
      </c>
      <c r="B76" s="2" t="s">
        <v>236</v>
      </c>
      <c r="C76" s="2" t="s">
        <v>30</v>
      </c>
      <c r="D76" s="1" t="s">
        <v>238</v>
      </c>
      <c r="E76" s="7">
        <f t="shared" si="1"/>
        <v>3</v>
      </c>
      <c r="G76" s="2">
        <v>1</v>
      </c>
    </row>
    <row r="77" spans="1:7">
      <c r="A77" s="4" t="s">
        <v>81</v>
      </c>
      <c r="B77" s="2" t="s">
        <v>239</v>
      </c>
      <c r="C77" s="2" t="s">
        <v>144</v>
      </c>
      <c r="D77" s="1" t="s">
        <v>241</v>
      </c>
      <c r="E77" s="7">
        <f t="shared" si="1"/>
        <v>3</v>
      </c>
    </row>
    <row r="78" spans="1:7">
      <c r="A78" s="4" t="s">
        <v>82</v>
      </c>
      <c r="B78" s="5" t="s">
        <v>243</v>
      </c>
      <c r="C78" s="2" t="s">
        <v>30</v>
      </c>
      <c r="D78" s="1" t="s">
        <v>312</v>
      </c>
      <c r="E78" s="7">
        <f t="shared" si="1"/>
        <v>78</v>
      </c>
    </row>
    <row r="79" spans="1:7">
      <c r="A79" s="4" t="s">
        <v>83</v>
      </c>
      <c r="B79" s="2" t="s">
        <v>244</v>
      </c>
      <c r="C79" s="2" t="s">
        <v>27</v>
      </c>
      <c r="D79" s="1" t="s">
        <v>115</v>
      </c>
      <c r="E79" s="7">
        <f t="shared" si="1"/>
        <v>2</v>
      </c>
    </row>
    <row r="80" spans="1:7">
      <c r="A80" s="4" t="s">
        <v>84</v>
      </c>
      <c r="B80" s="5" t="s">
        <v>245</v>
      </c>
      <c r="C80" s="2" t="s">
        <v>30</v>
      </c>
      <c r="D80" s="1" t="s">
        <v>313</v>
      </c>
      <c r="E80" s="7">
        <f t="shared" si="1"/>
        <v>275</v>
      </c>
    </row>
    <row r="81" spans="1:12">
      <c r="A81" s="4" t="s">
        <v>85</v>
      </c>
      <c r="B81" s="2" t="s">
        <v>246</v>
      </c>
      <c r="C81" s="2" t="s">
        <v>259</v>
      </c>
      <c r="D81" s="1" t="s">
        <v>248</v>
      </c>
      <c r="E81" s="7">
        <f t="shared" si="1"/>
        <v>8</v>
      </c>
    </row>
    <row r="82" spans="1:12">
      <c r="A82" s="4" t="s">
        <v>86</v>
      </c>
      <c r="B82" s="2" t="s">
        <v>249</v>
      </c>
      <c r="C82" s="2" t="s">
        <v>30</v>
      </c>
      <c r="D82" s="1" t="s">
        <v>314</v>
      </c>
      <c r="E82" s="7">
        <f t="shared" si="1"/>
        <v>48</v>
      </c>
    </row>
    <row r="83" spans="1:12">
      <c r="A83" s="4" t="s">
        <v>87</v>
      </c>
      <c r="B83" s="2" t="s">
        <v>247</v>
      </c>
      <c r="C83" s="2" t="s">
        <v>11</v>
      </c>
      <c r="D83" s="1" t="s">
        <v>250</v>
      </c>
      <c r="E83" s="7">
        <f t="shared" si="1"/>
        <v>1</v>
      </c>
    </row>
    <row r="84" spans="1:12">
      <c r="A84" s="4" t="s">
        <v>88</v>
      </c>
      <c r="B84" s="2" t="s">
        <v>251</v>
      </c>
      <c r="C84" s="2" t="s">
        <v>30</v>
      </c>
      <c r="D84" s="1" t="s">
        <v>315</v>
      </c>
      <c r="E84" s="7">
        <f t="shared" si="1"/>
        <v>122</v>
      </c>
    </row>
    <row r="85" spans="1:12">
      <c r="A85" s="4" t="s">
        <v>89</v>
      </c>
      <c r="B85" s="2" t="s">
        <v>262</v>
      </c>
      <c r="C85" s="2" t="s">
        <v>212</v>
      </c>
      <c r="D85" s="1" t="s">
        <v>260</v>
      </c>
      <c r="E85" s="7">
        <f t="shared" si="1"/>
        <v>3</v>
      </c>
    </row>
    <row r="86" spans="1:12">
      <c r="A86" s="4" t="s">
        <v>90</v>
      </c>
      <c r="B86" s="2" t="s">
        <v>263</v>
      </c>
      <c r="C86" s="2" t="s">
        <v>30</v>
      </c>
      <c r="D86" s="1" t="s">
        <v>254</v>
      </c>
      <c r="E86" s="7">
        <f t="shared" si="1"/>
        <v>12</v>
      </c>
      <c r="F86" s="2">
        <v>1</v>
      </c>
    </row>
    <row r="87" spans="1:12">
      <c r="A87" s="4" t="s">
        <v>91</v>
      </c>
      <c r="B87" s="2" t="s">
        <v>264</v>
      </c>
      <c r="C87" s="2" t="s">
        <v>212</v>
      </c>
      <c r="D87" s="1" t="s">
        <v>261</v>
      </c>
      <c r="E87" s="7">
        <f t="shared" si="1"/>
        <v>1</v>
      </c>
    </row>
    <row r="88" spans="1:12">
      <c r="A88" s="4" t="s">
        <v>92</v>
      </c>
      <c r="B88" s="2" t="s">
        <v>265</v>
      </c>
      <c r="C88" s="2" t="s">
        <v>30</v>
      </c>
      <c r="D88" s="1" t="s">
        <v>255</v>
      </c>
      <c r="E88" s="7">
        <f t="shared" si="1"/>
        <v>19</v>
      </c>
      <c r="L88" s="2">
        <v>1</v>
      </c>
    </row>
    <row r="89" spans="1:12">
      <c r="A89" s="4" t="s">
        <v>93</v>
      </c>
      <c r="B89" s="2" t="s">
        <v>252</v>
      </c>
      <c r="C89" s="2" t="s">
        <v>15</v>
      </c>
      <c r="D89" s="1" t="s">
        <v>256</v>
      </c>
      <c r="E89" s="7">
        <f t="shared" si="1"/>
        <v>11</v>
      </c>
    </row>
    <row r="90" spans="1:12">
      <c r="A90" s="4" t="s">
        <v>94</v>
      </c>
      <c r="B90" s="2" t="s">
        <v>253</v>
      </c>
      <c r="C90" s="2" t="s">
        <v>30</v>
      </c>
      <c r="D90" s="1" t="s">
        <v>257</v>
      </c>
      <c r="E90" s="7">
        <f t="shared" si="1"/>
        <v>5</v>
      </c>
      <c r="F90" s="2">
        <v>1</v>
      </c>
    </row>
    <row r="91" spans="1:12">
      <c r="A91" s="4" t="s">
        <v>95</v>
      </c>
      <c r="B91" s="2" t="s">
        <v>268</v>
      </c>
      <c r="C91" s="2" t="s">
        <v>15</v>
      </c>
      <c r="D91" s="2" t="s">
        <v>258</v>
      </c>
      <c r="E91" s="7">
        <f t="shared" si="1"/>
        <v>13</v>
      </c>
    </row>
    <row r="92" spans="1:12">
      <c r="A92" s="4" t="s">
        <v>96</v>
      </c>
      <c r="B92" s="2" t="s">
        <v>269</v>
      </c>
      <c r="C92" s="2" t="s">
        <v>30</v>
      </c>
      <c r="D92" s="1" t="s">
        <v>266</v>
      </c>
      <c r="E92" s="7">
        <f t="shared" si="1"/>
        <v>28</v>
      </c>
      <c r="L92" s="2">
        <v>1</v>
      </c>
    </row>
    <row r="93" spans="1:12">
      <c r="A93" s="4" t="s">
        <v>97</v>
      </c>
      <c r="B93" s="2" t="s">
        <v>270</v>
      </c>
      <c r="C93" s="2" t="s">
        <v>119</v>
      </c>
      <c r="D93" s="1" t="s">
        <v>267</v>
      </c>
      <c r="E93" s="7">
        <f t="shared" si="1"/>
        <v>35</v>
      </c>
    </row>
    <row r="94" spans="1:12">
      <c r="A94" s="4" t="s">
        <v>98</v>
      </c>
      <c r="B94" s="2" t="s">
        <v>274</v>
      </c>
      <c r="C94" s="2" t="s">
        <v>30</v>
      </c>
      <c r="D94" s="2" t="s">
        <v>271</v>
      </c>
      <c r="E94" s="7">
        <f t="shared" si="1"/>
        <v>278</v>
      </c>
    </row>
    <row r="95" spans="1:12">
      <c r="A95" s="4" t="s">
        <v>99</v>
      </c>
      <c r="B95" s="2" t="s">
        <v>275</v>
      </c>
      <c r="C95" s="2" t="s">
        <v>116</v>
      </c>
      <c r="D95" s="1" t="s">
        <v>272</v>
      </c>
      <c r="E95" s="7">
        <f t="shared" si="1"/>
        <v>2</v>
      </c>
    </row>
    <row r="96" spans="1:12">
      <c r="A96" s="4" t="s">
        <v>100</v>
      </c>
      <c r="B96" s="2" t="s">
        <v>276</v>
      </c>
      <c r="C96" s="2" t="s">
        <v>27</v>
      </c>
      <c r="D96" s="1" t="s">
        <v>273</v>
      </c>
      <c r="E96" s="7">
        <f t="shared" si="1"/>
        <v>5</v>
      </c>
    </row>
    <row r="97" spans="1:13">
      <c r="A97" s="4" t="s">
        <v>101</v>
      </c>
      <c r="B97" s="2" t="s">
        <v>277</v>
      </c>
      <c r="C97" s="2" t="s">
        <v>116</v>
      </c>
      <c r="D97" s="1" t="s">
        <v>108</v>
      </c>
      <c r="E97" s="7">
        <f t="shared" si="1"/>
        <v>2</v>
      </c>
    </row>
    <row r="98" spans="1:13">
      <c r="A98" s="4" t="s">
        <v>102</v>
      </c>
      <c r="B98" s="2" t="s">
        <v>278</v>
      </c>
      <c r="C98" s="2" t="s">
        <v>30</v>
      </c>
      <c r="D98" s="1" t="s">
        <v>108</v>
      </c>
      <c r="E98" s="7">
        <f t="shared" si="1"/>
        <v>2</v>
      </c>
    </row>
    <row r="100" spans="1:13">
      <c r="D100" s="7" t="s">
        <v>293</v>
      </c>
      <c r="E100" s="8">
        <f>SUM(E3:E98)</f>
        <v>3403</v>
      </c>
      <c r="F100" s="8">
        <f t="shared" ref="F100:M100" si="2">SUM(F3:F98)</f>
        <v>8</v>
      </c>
      <c r="G100" s="8">
        <f t="shared" si="2"/>
        <v>1</v>
      </c>
      <c r="H100" s="8">
        <f t="shared" si="2"/>
        <v>0</v>
      </c>
      <c r="I100" s="8">
        <f t="shared" si="2"/>
        <v>1</v>
      </c>
      <c r="J100" s="8">
        <f t="shared" si="2"/>
        <v>0</v>
      </c>
      <c r="K100" s="8">
        <f t="shared" si="2"/>
        <v>0</v>
      </c>
      <c r="L100" s="8">
        <f t="shared" si="2"/>
        <v>7</v>
      </c>
      <c r="M100" s="8">
        <f t="shared" si="2"/>
        <v>0</v>
      </c>
    </row>
    <row r="101" spans="1:13">
      <c r="D101" s="8" t="s">
        <v>294</v>
      </c>
      <c r="E101" s="8">
        <f>SUMIF(C3:C98, "Teacher", E3:E98)</f>
        <v>3164</v>
      </c>
    </row>
    <row r="102" spans="1:13">
      <c r="D102" s="8" t="s">
        <v>295</v>
      </c>
      <c r="E102" s="8">
        <f>E100-E101</f>
        <v>239</v>
      </c>
    </row>
    <row r="103" spans="1:13">
      <c r="D103" s="8" t="s">
        <v>296</v>
      </c>
      <c r="E103" s="8">
        <v>96</v>
      </c>
    </row>
    <row r="104" spans="1:13">
      <c r="D104" s="8" t="s">
        <v>297</v>
      </c>
      <c r="E104" s="8">
        <f>COUNTIF(C3:C98, "Teacher")</f>
        <v>46</v>
      </c>
    </row>
    <row r="105" spans="1:13">
      <c r="D105" s="8" t="s">
        <v>298</v>
      </c>
      <c r="E105" s="8">
        <f>E103-E104</f>
        <v>50</v>
      </c>
    </row>
    <row r="106" spans="1:13">
      <c r="D106" s="1"/>
    </row>
    <row r="107" spans="1:13">
      <c r="D107" s="1"/>
    </row>
    <row r="108" spans="1:13">
      <c r="D108" s="1"/>
    </row>
    <row r="110" spans="1:13">
      <c r="D110" s="1"/>
    </row>
    <row r="112" spans="1:13">
      <c r="D112" s="1"/>
    </row>
    <row r="113" spans="2:4">
      <c r="D113" s="1"/>
    </row>
    <row r="114" spans="2:4">
      <c r="D114" s="1"/>
    </row>
    <row r="116" spans="2:4">
      <c r="B116" s="3"/>
      <c r="D116" s="1"/>
    </row>
    <row r="118" spans="2:4">
      <c r="D118" s="1"/>
    </row>
    <row r="119" spans="2:4">
      <c r="B119" s="3"/>
    </row>
    <row r="120" spans="2:4">
      <c r="D120" s="1"/>
    </row>
    <row r="123" spans="2:4">
      <c r="D123" s="1"/>
    </row>
    <row r="124" spans="2:4">
      <c r="D124" s="1"/>
    </row>
    <row r="125" spans="2:4">
      <c r="D125" s="1"/>
    </row>
    <row r="126" spans="2:4">
      <c r="D126" s="1"/>
    </row>
    <row r="130" spans="4:4">
      <c r="D130" s="1"/>
    </row>
    <row r="131" spans="4:4">
      <c r="D131" s="1"/>
    </row>
    <row r="132" spans="4:4">
      <c r="D132" s="1"/>
    </row>
    <row r="133" spans="4:4">
      <c r="D133" s="1"/>
    </row>
    <row r="134" spans="4:4">
      <c r="D134" s="1"/>
    </row>
    <row r="135" spans="4:4">
      <c r="D135" s="1"/>
    </row>
    <row r="137" spans="4:4">
      <c r="D137" s="1"/>
    </row>
    <row r="139" spans="4:4">
      <c r="D139" s="1"/>
    </row>
    <row r="141" spans="4:4">
      <c r="D141" s="1"/>
    </row>
    <row r="143" spans="4:4">
      <c r="D143" s="1"/>
    </row>
    <row r="144" spans="4:4">
      <c r="D144" s="1"/>
    </row>
    <row r="145" spans="4:4">
      <c r="D145" s="1"/>
    </row>
    <row r="146" spans="4:4">
      <c r="D146" s="1"/>
    </row>
    <row r="148" spans="4:4">
      <c r="D148" s="1"/>
    </row>
    <row r="149" spans="4:4">
      <c r="D149" s="1"/>
    </row>
    <row r="151" spans="4:4">
      <c r="D151" s="1"/>
    </row>
    <row r="152" spans="4:4">
      <c r="D152" s="1"/>
    </row>
    <row r="153" spans="4:4">
      <c r="D153" s="1"/>
    </row>
    <row r="157" spans="4:4">
      <c r="D157" s="1"/>
    </row>
    <row r="158" spans="4:4">
      <c r="D158" s="1"/>
    </row>
    <row r="159" spans="4:4">
      <c r="D159" s="1"/>
    </row>
    <row r="161" spans="4:4">
      <c r="D161" s="1"/>
    </row>
    <row r="165" spans="4:4">
      <c r="D165" s="1"/>
    </row>
    <row r="167" spans="4:4">
      <c r="D167" s="1"/>
    </row>
    <row r="168" spans="4:4">
      <c r="D168" s="1"/>
    </row>
    <row r="169" spans="4:4">
      <c r="D169" s="1"/>
    </row>
    <row r="170" spans="4:4">
      <c r="D170" s="1"/>
    </row>
    <row r="171" spans="4:4">
      <c r="D171" s="1"/>
    </row>
    <row r="172" spans="4:4">
      <c r="D172" s="1"/>
    </row>
    <row r="173" spans="4:4">
      <c r="D173" s="1"/>
    </row>
    <row r="174" spans="4:4">
      <c r="D174" s="1"/>
    </row>
    <row r="175" spans="4:4">
      <c r="D175" s="1"/>
    </row>
    <row r="176" spans="4:4">
      <c r="D176" s="1"/>
    </row>
    <row r="178" spans="4:4">
      <c r="D178" s="1"/>
    </row>
  </sheetData>
  <mergeCells count="6">
    <mergeCell ref="F1:M1"/>
    <mergeCell ref="A1:A2"/>
    <mergeCell ref="B1:B2"/>
    <mergeCell ref="C1:C2"/>
    <mergeCell ref="D1:D2"/>
    <mergeCell ref="E1:E2"/>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SubtitleContentTmpl-72724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susan zhou</cp:lastModifiedBy>
  <dcterms:created xsi:type="dcterms:W3CDTF">2026-03-17T09:34:58Z</dcterms:created>
  <dcterms:modified xsi:type="dcterms:W3CDTF">2026-05-22T03:25:12Z</dcterms:modified>
</cp:coreProperties>
</file>