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3"/>
  <workbookPr/>
  <mc:AlternateContent xmlns:mc="http://schemas.openxmlformats.org/markup-compatibility/2006">
    <mc:Choice Requires="x15">
      <x15ac:absPath xmlns:x15ac="http://schemas.microsoft.com/office/spreadsheetml/2010/11/ac" url="https://d.docs.live.net/529a137f6cc16f6a/课内相关/京师人/学业/各种项目/2026上半年陶瓷/ChenGaowei/5.20编码任务/"/>
    </mc:Choice>
  </mc:AlternateContent>
  <xr:revisionPtr revIDLastSave="19" documentId="8_{8EB4CA4A-E2D7-EB48-B4BA-4354D6F90079}" xr6:coauthVersionLast="47" xr6:coauthVersionMax="47" xr10:uidLastSave="{D347469D-FECD-9C4D-B658-20EF60AAE429}"/>
  <bookViews>
    <workbookView xWindow="4440" yWindow="760" windowWidth="24960" windowHeight="16420" xr2:uid="{00000000-000D-0000-FFFF-FFFF00000000}"/>
  </bookViews>
  <sheets>
    <sheet name="SubtitleContentTmpl-72724"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2" i="1" l="1"/>
  <c r="G62" i="1"/>
  <c r="H62" i="1"/>
  <c r="I62" i="1"/>
  <c r="J62" i="1"/>
  <c r="K62" i="1"/>
  <c r="L62" i="1"/>
  <c r="M62" i="1"/>
  <c r="E67" i="1"/>
  <c r="E66"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3" i="1"/>
  <c r="E63" i="1" l="1"/>
  <c r="E62" i="1"/>
  <c r="E64" i="1" l="1"/>
</calcChain>
</file>

<file path=xl/sharedStrings.xml><?xml version="1.0" encoding="utf-8"?>
<sst xmlns="http://schemas.openxmlformats.org/spreadsheetml/2006/main" count="248" uniqueCount="198">
  <si>
    <t>Teacher</t>
  </si>
  <si>
    <t>2</t>
  </si>
  <si>
    <t>00:41-00:44</t>
  </si>
  <si>
    <t>Student 1</t>
  </si>
  <si>
    <t>Did you give me term 1?</t>
  </si>
  <si>
    <t>3</t>
  </si>
  <si>
    <t>00:48-00:57</t>
  </si>
  <si>
    <t>Good question. Okay, I'll take the term 1. Thank you. Thank you. Sorry. Everybody else get term two or did I give term one to everybody?</t>
  </si>
  <si>
    <t>4</t>
  </si>
  <si>
    <t>00:57-00:59</t>
  </si>
  <si>
    <t>Michael</t>
  </si>
  <si>
    <t>I have 1.</t>
  </si>
  <si>
    <t>5</t>
  </si>
  <si>
    <t>00:59-01:12</t>
  </si>
  <si>
    <t>That's alright. Term one. How about you guys? Did I give you guys the right books?</t>
  </si>
  <si>
    <t>6</t>
  </si>
  <si>
    <t>01:12-01:15</t>
  </si>
  <si>
    <t>Student 2</t>
  </si>
  <si>
    <t>Yeah, it's right.</t>
  </si>
  <si>
    <t>7</t>
  </si>
  <si>
    <t>01:15-04:39</t>
  </si>
  <si>
    <t>8</t>
  </si>
  <si>
    <t>04:39-04:43</t>
  </si>
  <si>
    <t>Student 3</t>
  </si>
  <si>
    <t>To organize a one month course.</t>
  </si>
  <si>
    <t>9</t>
  </si>
  <si>
    <t>04:44-05:16</t>
  </si>
  <si>
    <t>10</t>
  </si>
  <si>
    <t>05:16-05:18</t>
  </si>
  <si>
    <t>I know. Lessons.</t>
  </si>
  <si>
    <t>11</t>
  </si>
  <si>
    <t>05:19-05:35</t>
  </si>
  <si>
    <t>12</t>
  </si>
  <si>
    <t>05:35-05:37</t>
  </si>
  <si>
    <t>Student 4</t>
  </si>
  <si>
    <t>Simple living.</t>
  </si>
  <si>
    <t>13</t>
  </si>
  <si>
    <t>05:37-06:04</t>
  </si>
  <si>
    <t>14</t>
  </si>
  <si>
    <t>06:04-06:06</t>
  </si>
  <si>
    <t>Prepositions.</t>
  </si>
  <si>
    <t>15</t>
  </si>
  <si>
    <t>06:06-06:57</t>
  </si>
  <si>
    <t>16</t>
  </si>
  <si>
    <t>06:57-06:58</t>
  </si>
  <si>
    <t>Student 5</t>
  </si>
  <si>
    <t>No, I don’t.</t>
  </si>
  <si>
    <t>17</t>
  </si>
  <si>
    <t>06:58-07:01</t>
  </si>
  <si>
    <t>No? How about you, Michael? You know who this guy is?</t>
  </si>
  <si>
    <t>18</t>
  </si>
  <si>
    <t>07:02-07:03</t>
  </si>
  <si>
    <t>No.</t>
  </si>
  <si>
    <t>19</t>
  </si>
  <si>
    <t>07:03-10:48</t>
  </si>
  <si>
    <t>20</t>
  </si>
  <si>
    <t>10:48-11:39</t>
  </si>
  <si>
    <t>Students</t>
  </si>
  <si>
    <t>(group work)</t>
  </si>
  <si>
    <t>21</t>
  </si>
  <si>
    <t>11:39-11:44</t>
  </si>
  <si>
    <t>Okay. Don’t forget you have to pick someone to write it down. Pick someone to actually write it down.</t>
  </si>
  <si>
    <t>22</t>
  </si>
  <si>
    <t>11:44-13:33</t>
  </si>
  <si>
    <t>23</t>
  </si>
  <si>
    <t>13:33-14:01</t>
  </si>
  <si>
    <t>24</t>
  </si>
  <si>
    <t>14:01-14:46</t>
  </si>
  <si>
    <t>25</t>
  </si>
  <si>
    <t>14:46-20:41</t>
  </si>
  <si>
    <t>26</t>
  </si>
  <si>
    <t>20:41-20:44</t>
  </si>
  <si>
    <t>Um, just simplify your life.</t>
  </si>
  <si>
    <t>27</t>
  </si>
  <si>
    <t>20:44-20:55</t>
  </si>
  <si>
    <t>Okay. How would you do that? Yeah, how would you do that? What do you mean by simplify your life?</t>
  </si>
  <si>
    <t>28</t>
  </si>
  <si>
    <t>20:55-20:57</t>
  </si>
  <si>
    <t>Maybe…</t>
  </si>
  <si>
    <t>29</t>
  </si>
  <si>
    <t>20:57-20:59</t>
  </si>
  <si>
    <t>Not do what? Not…</t>
  </si>
  <si>
    <t>30</t>
  </si>
  <si>
    <t>20:59-21:01</t>
  </si>
  <si>
    <t>Not long work.</t>
  </si>
  <si>
    <t>31</t>
  </si>
  <si>
    <t>21:01-21:22</t>
  </si>
  <si>
    <t>32</t>
  </si>
  <si>
    <t>21:22-21:25</t>
  </si>
  <si>
    <t>Oh, don’t do the work that will give you a salary.</t>
  </si>
  <si>
    <t>33</t>
  </si>
  <si>
    <t>21:25-21:36</t>
  </si>
  <si>
    <t>34</t>
  </si>
  <si>
    <t>21:36-21:46</t>
  </si>
  <si>
    <t>Go outside the… You go outside your home and collecting some resources, that is your work.</t>
  </si>
  <si>
    <t>35</t>
  </si>
  <si>
    <t>21:46-23:21</t>
  </si>
  <si>
    <t>36</t>
  </si>
  <si>
    <t>23:21-23:23</t>
  </si>
  <si>
    <t>Environmentalist.</t>
  </si>
  <si>
    <t>37</t>
  </si>
  <si>
    <t>23:24-23:27</t>
  </si>
  <si>
    <t>Environmentalist. What is an environmentalist?</t>
  </si>
  <si>
    <t>38</t>
  </si>
  <si>
    <t>23:27-23:30</t>
  </si>
  <si>
    <t>Protects the environment.</t>
  </si>
  <si>
    <t>39</t>
  </si>
  <si>
    <t>23:30-24:21</t>
  </si>
  <si>
    <t>40</t>
  </si>
  <si>
    <t>24:21-24:25</t>
  </si>
  <si>
    <t>Are we looking for words that ends in -ist? Pianist.</t>
  </si>
  <si>
    <t>41</t>
  </si>
  <si>
    <t>24:25-26:35</t>
  </si>
  <si>
    <t>42</t>
  </si>
  <si>
    <t>26:35-26:37</t>
  </si>
  <si>
    <t>Urban. (all together)</t>
  </si>
  <si>
    <t>43</t>
  </si>
  <si>
    <t>26:37-26:40</t>
  </si>
  <si>
    <t>Number two: Countryside.</t>
  </si>
  <si>
    <t>44</t>
  </si>
  <si>
    <t>26:40-26:42</t>
  </si>
  <si>
    <t>Countryside. (all together)</t>
  </si>
  <si>
    <t>45</t>
  </si>
  <si>
    <t>27:42-26:45</t>
  </si>
  <si>
    <t>Number three: Simplicity.</t>
  </si>
  <si>
    <t>46</t>
  </si>
  <si>
    <t>26:45-26:46</t>
  </si>
  <si>
    <t>Simplicity. (all together)</t>
  </si>
  <si>
    <t>47</t>
  </si>
  <si>
    <t>26:46-26:48</t>
  </si>
  <si>
    <t>Number four: adaptability.</t>
  </si>
  <si>
    <t>48</t>
  </si>
  <si>
    <t>26:48-26:49</t>
  </si>
  <si>
    <t>Adaptability. (all together)</t>
  </si>
  <si>
    <t>49</t>
  </si>
  <si>
    <t>26:49-26:50</t>
  </si>
  <si>
    <t>Number five: overcome.</t>
  </si>
  <si>
    <t>50</t>
  </si>
  <si>
    <t>26:50-26:51</t>
  </si>
  <si>
    <t>Overcome. (all together)</t>
  </si>
  <si>
    <t>51</t>
  </si>
  <si>
    <t>26:51-27:00</t>
  </si>
  <si>
    <t>52</t>
  </si>
  <si>
    <t>27:01-27:02</t>
  </si>
  <si>
    <t>Take for granted. (all together)</t>
  </si>
  <si>
    <t>53</t>
  </si>
  <si>
    <t>27:02-27:06</t>
  </si>
  <si>
    <t>So we take something for granted. Number seven, say after me. Appreciate.</t>
  </si>
  <si>
    <t>54</t>
  </si>
  <si>
    <t>27:06-27:07</t>
  </si>
  <si>
    <t>Appreciate. (all together)</t>
  </si>
  <si>
    <t>55</t>
  </si>
  <si>
    <t>27:07-27:10</t>
  </si>
  <si>
    <t>And, number eight is value.</t>
  </si>
  <si>
    <t>56</t>
  </si>
  <si>
    <t>27:10-27:11</t>
  </si>
  <si>
    <t>Value. (all together)</t>
  </si>
  <si>
    <t>57</t>
  </si>
  <si>
    <t>27:11-27:33</t>
  </si>
  <si>
    <t xml:space="preserve"> And the verb form. Do you value this? And in other words, do you care about this basically? Okay, good. Please add these,  and then that's it.
</t>
  </si>
  <si>
    <t>word</t>
    <phoneticPr fontId="3" type="noConversion"/>
  </si>
  <si>
    <t>APT moves</t>
    <phoneticPr fontId="3" type="noConversion"/>
  </si>
  <si>
    <t>Number</t>
    <phoneticPr fontId="3" type="noConversion"/>
  </si>
  <si>
    <t>Timestamp</t>
    <phoneticPr fontId="3" type="noConversion"/>
  </si>
  <si>
    <t>Speaker</t>
    <phoneticPr fontId="3" type="noConversion"/>
  </si>
  <si>
    <t>Utterance</t>
    <phoneticPr fontId="3" type="noConversion"/>
  </si>
  <si>
    <t>1</t>
    <phoneticPr fontId="3" type="noConversion"/>
  </si>
  <si>
    <t>00:00-00:41</t>
    <phoneticPr fontId="3" type="noConversion"/>
  </si>
  <si>
    <t>Teacher</t>
    <phoneticPr fontId="3" type="noConversion"/>
  </si>
  <si>
    <t>Alright, so we're moving into term two. We finished the term one workbook. So here's the term two workbook. Please write down your name, class and class number. Um, the front cover. There you go. All right, so you'll notice it looks very similar to our term one workbook. And you can see on the second page here, the table of content. This workbook has five additional sets that we'll try to get through and on page one… Yes?</t>
    <phoneticPr fontId="3" type="noConversion"/>
  </si>
  <si>
    <t>sum</t>
  </si>
  <si>
    <t>Teachers' total words</t>
  </si>
  <si>
    <t>Students' total words</t>
  </si>
  <si>
    <t>Total turns</t>
  </si>
  <si>
    <t>No. of teachers' turn</t>
  </si>
  <si>
    <t>No. of students' turn</t>
  </si>
  <si>
    <r>
      <t xml:space="preserve">Okay. I got one group out of three. Good. Alright. On page one are some reminders. Remember, these are the terms I use to describe the speaking question papers. First we have the situation. This is the part of the paper that includes the task and topic. The task is usually some activity you have to discuss doing. In the past, we had tasks like writing an article, letter or email making a presentation. Organizing or planning some event, some workshop, planning for debate. But now most often you'll just get, you are discussing or you have to discuss some topic. Then the topic is what you are doing the task on or the task about. Some past examples include team, team, sports, street culture, health, and eBooks. And then we have the hockey point. These are the four points below the situation. They're kind of like the questions, but they're not questions, so we call them points. Here's a reminder on body language. This is good to know. Many of you still need to work on this. All right, and then we have the return of our useful expressions for 10 different situations. This is what you've seen for the past two years that this section is just a reference for you. Stop this, or there we go. Okay. Let's go on to the first set. Set five. Oh, we have some advantage skills. That was go over today. Great. Set five. So as usual, I want you to identify the task and topic like I just mentioned. It can be found in this situation, which is this bit here. Alright, so please take one minute to read the situation and highlight words or phrases that tell you the task and the topic of the task. You need a pen? Oh, yeah. Okay. </t>
    </r>
    <r>
      <rPr>
        <sz val="11"/>
        <color rgb="FF000000"/>
        <rFont val="Arial"/>
        <family val="2"/>
      </rPr>
      <t> </t>
    </r>
    <r>
      <rPr>
        <sz val="11"/>
        <color indexed="8"/>
        <rFont val="Aptos Narrow"/>
      </rPr>
      <t>Okay, good. Now, who can tell me. What is the task? What is the thing you have to discuss doing or helping to do in this particular case? Yes, go ahead.</t>
    </r>
    <phoneticPr fontId="1" type="noConversion"/>
  </si>
  <si>
    <t>Very good. Yeah, to organize a one month long course. So there we have that key word, organize. Once again, the verb form is a little bit different than we saw on page one, but it's that key sort of verb, organize, create these kinds of verbs. Quite often they are in the two in definitive form. Okay, so organize a one month long course. So what is a course? We talk about a course. What's another word we could use?</t>
    <phoneticPr fontId="1" type="noConversion"/>
  </si>
  <si>
    <t>Say more</t>
    <phoneticPr fontId="1" type="noConversion"/>
  </si>
  <si>
    <t>Revoice</t>
    <phoneticPr fontId="1" type="noConversion"/>
  </si>
  <si>
    <t>Press for reasoning</t>
    <phoneticPr fontId="1" type="noConversion"/>
  </si>
  <si>
    <t>Challenge</t>
    <phoneticPr fontId="1" type="noConversion"/>
  </si>
  <si>
    <t>Restate</t>
    <phoneticPr fontId="1" type="noConversion"/>
  </si>
  <si>
    <t>Agree/Disagree</t>
    <phoneticPr fontId="1" type="noConversion"/>
  </si>
  <si>
    <t>Add on</t>
    <phoneticPr fontId="1" type="noConversion"/>
  </si>
  <si>
    <t>Explain others</t>
    <phoneticPr fontId="1" type="noConversion"/>
  </si>
  <si>
    <t>Yeah, lessons, like a series of lessons. I don't know where I write. And, or basically like a class. So we're having a class, uh, maybe on Saturdays. On what topic? What's the topic then?</t>
    <phoneticPr fontId="1" type="noConversion"/>
  </si>
  <si>
    <t>Yes. Simple living. Yeah, very good. Simple living. How can we tell? We can tell because it comes after this word here on. So when we look for the task, we can see the two infinitive form. Then we have a word like on what kind of word class is that? Verb, adjective, noun…  What kind of word is that? What do we call words like on? We call them…</t>
    <phoneticPr fontId="1" type="noConversion"/>
  </si>
  <si>
    <t>Thank you. Prepositions. Alright, so. We'll have a sort of verb phrase here, and then we'll have a preposition and then we'll have the topic. Okay, so what is simple living then? Any ideas? What is this topic? Simple living. What does that mean? Not sure? That's okay. Let's keep going. We can come back to that later. So as a part of the course, students have to live in the countryside for a week like Mako Kwan . Has anybody heard of Mako Kwan? Anybody friends with this guy? Is he your a friend? You follow him on Instagram, TikTok?  WeChat?</t>
    <phoneticPr fontId="1" type="noConversion"/>
  </si>
  <si>
    <t>Anyone here? Mako Kwan? You ever heard of him? Neither have I. So let's take a look. Now the nice thing is if you don't know the topic, like simple living or further information, like who this guy is, this is where we go to the article. Remember that the article isn't the topic, all right? This is not the topic. This gives you information about the topic and the first couple of paragraphs. We’ll define the topic. So what I want you to do now is I want you to read, oh, probably the first three paragraphs there, and I want you to highlight words or phrases that tell you first who Mako is, but more importantly, to help you come up with a one sentence definition of simple living. Alright, so read the first three paragraphs and one sentence. See if you can figure out what simple living is. I'll give you a, give you a minute here. So you can underline words, key words or phrases that can help you to define, to explain what do we mean by simple living. Okay, good. Now here's what we're gonna do next. This is a little bit different than normal. We're gonna have a mini discussion with either your partner in your case or your group members at your table. And I'm gonna give you about oh two minutes to do this. And what I want you to do is I want you to discuss with your group and come up with a definition of simple living, that is a sentence or two explaining what simple living is. If you had to explain the meaning of simple living to somebody else, how would you explain it? In short, just a sentence or two. Should do it. Alright. I'll give you a, you know what, let's try three minutes and then if that's too much time, I'll stop it early. Alright. So try to have this discussion in English, mind you. Think about your group discussion skills. All right, so we have to come up with a definition of simple living. Uh, let's see here. I think it has to do with blah, blah, blah. What do you think Student B or what do you think, uh, Honda in this case? Alright, so normal English group discussion, but you actually have to write down. So one person please write down on the note card in a sentence or two. What simple living means. Of course, you know, I'm expecting you to use ideas from here. Alright? Because it's kind of up here. All right. You have three minutes. You may start now.</t>
    <phoneticPr fontId="1" type="noConversion"/>
  </si>
  <si>
    <t>Okay, so we're coming to the end here. So right now, please pick someone to write a definition. You can start by saying something like Simple Living is, and then fill in the rest with your own, your group's idea of what it is. I'll give you another minute or two here, another minute to write it. Work with your group members.</t>
    <phoneticPr fontId="1" type="noConversion"/>
  </si>
  <si>
    <t>Okay, so now choose someone from your group. Come up and please rewrite your definition under your group number. So Michael, you're number three. You're on top. I think you're gonna write it because you're, you're tall. Two. And then number two, someone please go up. Please write down your definition right there. And group one. Can you pick someone? Please stand up. Please write down your definition on the board. Yeah. Write your sentence on the board, please. So group one, group two, group three. All right. You can write two at a time. Two at a time. Two at a time. Yeah, you can do two at a time, two at a time. We should’ve done it by columns. I guess that's better. So take a look at what the other groups wrote, see how it matches up with yours. Okay. Very good, thank you. Alright, let's start with group one here. Simple living is about living in your remote area around nature. So we have this key idea of nature, alright? Growing own food. Okay. And with little to, no, I like that. Little to no reliance on electrical appliances. So we have bean in nature, sort of having our own food, making our own food, and not using many electrical appliances. Group two, so somewhere far from the city. Okay, so somewhere remote that's similar or somewhere natural, I guess we would say somewhere in nature. So, okay. Somewhere in nature. Alright. And then for group three, we have simple living is about collecting materials or resources from, and nature is a collective noun, so we don't need ‘in’ article, from nature and using it for basic living. And without using any electrical devices, I would agree that without using, or maybe we can say many electrical devices. So we have this idea of not using many electrical devices, growing or collecting things from nature. And then we have this idea of basic living though. What, what do you mean by basic living?</t>
    <phoneticPr fontId="1" type="noConversion"/>
  </si>
  <si>
    <t>Okay. So don't do like a, like an office job, like a nine to five job. Is that, is that correct? Okay. So sort of live outside the…</t>
    <phoneticPr fontId="1" type="noConversion"/>
  </si>
  <si>
    <t>Okay. Yeah, so that's, you're living what we call, you're living outside of the system, so you're not really working for a company or a corporation. You're sort of doing your own thing. You don't have to worry about maybe necessarily things like taxes or MTR fees. Or things like that, or working a schedule according to your employer. And don’t have to do a nine to five living. Okay. So that's, these are all good and clear definitions. Uh, you definitely got these from the article for sure. So that's very good. How do I save this thing? Anyways. Okay, good. Alright, so let's take a look at, well, what everybody's doing today, and that's using AI to define simple living. So this of course is gonna be more broad. So just a quick Google search. Google AI says: Simple living is a voluntary, international lifestyle focused on reducing excess to prioritize what truly matters. So decluttering possessions, reducing obligations. So this is a little bit outside of the article. This doesn't quite match up with what we have here. So one thing though is we kind of missed who is Mako Kwan? What is he? He's a what? Who is this guy?</t>
    <phoneticPr fontId="1" type="noConversion"/>
  </si>
  <si>
    <t>Yeah. So it’s someone who cares about and probably protects the environment. Right? So we have environment, right in the word, we know it has to do with the environment. And when we have -ist, it often means that it's about a per person. For example, dentist, artist. There's one more I forgot. Dentist, artist…  Somebody mentioned it yesterday. Now I can't think of it. That's a shame. Dentist, artist…</t>
    <phoneticPr fontId="1" type="noConversion"/>
  </si>
  <si>
    <t>Pianist, yes. Someone who plays the piano. Yes. So like that. So when you see -ist at the end of sort of like a noun like this, uh, it can, uh, it often means someone who does that. So a dentist is of course a guy who works on your teeth. Okay. So, and then you got this idea that he really cares about the environment. So simple living according to this article has to do with living in a way that helps to sort of protect nature or is friendly to nature or shows that you care about nature. Okay, so we know what simple living is, has to do with living in nature. And you guys picked up on the few electrical appliances, so not having a bunch of stuff, not having no air conditioning, no tv, probably no phone, definitely no Wifi. Alright. He also makes his own soap and so on. Okay, so you're talking about a course on this, but a part of it is that students have to live in the countryside for a week like this guy. So in our discussion, we’ll talk about the skills students will learn from this course. So what will they learn? Second, the benefits and problems. This plan will bring by this plan. We, of course, are talking about sending students to live in the countryside for a week, and then you'll probably want to talk about what other activities to include in this course to help students learn about simple living, living sort of in this way that's in harmony with nature. Okay. So that's probably a good place to stop, but let's do the vocabulary real quick. Please take a look at the next page, the vocabulary section. Alright, we'll do, we'll end with this today. So here are our eight vocabulary items for today. Everyone say after me. Urban.</t>
    <phoneticPr fontId="1" type="noConversion"/>
  </si>
  <si>
    <t>If you learn one thing from today, remember this word, this word shows up in the DSE a lot. Number six: take for granted.</t>
    <phoneticPr fontId="1" type="noConversion"/>
  </si>
  <si>
    <t>Don't, don't work. Uh, okay. That would be nice. I still think collecting resources or making your own food, that requires some, some work. But yeah, don’t do what kind of work? What kind of job?</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</si>
</sst>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indexed="8"/>
      <name val="Aptos Narrow"/>
    </font>
    <font>
      <sz val="9"/>
      <name val="FangSong"/>
      <family val="3"/>
      <charset val="134"/>
    </font>
    <font>
      <b/>
      <sz val="12"/>
      <color indexed="8"/>
      <name val="Calibri"/>
      <family val="2"/>
    </font>
    <font>
      <sz val="9"/>
      <name val="Helvetica Neue"/>
      <family val="3"/>
      <charset val="134"/>
      <scheme val="minor"/>
    </font>
    <font>
      <sz val="12"/>
      <color indexed="8"/>
      <name val="Helvetica"/>
      <family val="2"/>
    </font>
    <font>
      <sz val="11"/>
      <color indexed="8"/>
      <name val="Helvetica"/>
      <family val="2"/>
    </font>
    <font>
      <sz val="11"/>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applyNumberFormat="0" applyFill="0" applyBorder="0" applyProtection="0"/>
  </cellStyleXfs>
  <cellXfs count="9">
    <xf numFmtId="0" fontId="0" fillId="0" borderId="0" xfId="0"/>
    <xf numFmtId="0" fontId="0" fillId="0" borderId="0" xfId="0" applyNumberFormat="1" applyBorder="1"/>
    <xf numFmtId="49" fontId="0" fillId="0" borderId="0" xfId="0" applyNumberFormat="1" applyBorder="1"/>
    <xf numFmtId="49" fontId="0" fillId="0" borderId="0" xfId="0" applyNumberFormat="1" applyBorder="1" applyAlignment="1">
      <alignment horizontal="left" vertical="top" readingOrder="1"/>
    </xf>
    <xf numFmtId="49" fontId="0" fillId="0" borderId="0" xfId="0" applyNumberFormat="1" applyBorder="1" applyAlignment="1">
      <alignment horizontal="left" vertical="top" wrapText="1" readingOrder="1"/>
    </xf>
    <xf numFmtId="0" fontId="2" fillId="0" borderId="0" xfId="0" applyFont="1" applyAlignment="1">
      <alignment horizontal="center" vertical="center"/>
    </xf>
    <xf numFmtId="0" fontId="4" fillId="0" borderId="0" xfId="0" applyFont="1"/>
    <xf numFmtId="0" fontId="5" fillId="0" borderId="0" xfId="0" applyFont="1"/>
    <xf numFmtId="0" fontId="2" fillId="0" borderId="0" xfId="0" applyFont="1" applyAlignment="1">
      <alignment horizontal="center" vertical="center"/>
    </xf>
  </cellXfs>
  <cellStyles count="1">
    <cellStyle name="常规"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905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Aptos Narrow"/>
            <a:ea typeface="Aptos Narrow"/>
            <a:cs typeface="Aptos Narrow"/>
            <a:sym typeface="Aptos Narrow"/>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905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Aptos Narrow"/>
            <a:ea typeface="Aptos Narrow"/>
            <a:cs typeface="Aptos Narrow"/>
            <a:sym typeface="Aptos Narrow"/>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7"/>
  <sheetViews>
    <sheetView tabSelected="1" topLeftCell="B1" zoomScale="159" workbookViewId="0">
      <pane ySplit="2" topLeftCell="A51" activePane="bottomLeft" state="frozen"/>
      <selection pane="bottomLeft" activeCell="D52" sqref="D52"/>
    </sheetView>
  </sheetViews>
  <sheetFormatPr baseColWidth="10" defaultColWidth="8.83203125" defaultRowHeight="14.5" customHeight="1" x14ac:dyDescent="0.2"/>
  <cols>
    <col min="1" max="1" width="8.83203125" style="1" customWidth="1"/>
    <col min="2" max="2" width="17" style="1" customWidth="1"/>
    <col min="3" max="3" width="11" style="1" customWidth="1"/>
    <col min="4" max="4" width="20" style="1" customWidth="1"/>
    <col min="5" max="5" width="7.5" style="1" customWidth="1"/>
    <col min="6" max="6" width="8.83203125" style="1" customWidth="1"/>
    <col min="7" max="16384" width="8.83203125" style="1"/>
  </cols>
  <sheetData>
    <row r="1" spans="1:13" ht="15.75" customHeight="1" x14ac:dyDescent="0.2">
      <c r="A1" s="8" t="s">
        <v>162</v>
      </c>
      <c r="B1" s="8" t="s">
        <v>163</v>
      </c>
      <c r="C1" s="8" t="s">
        <v>164</v>
      </c>
      <c r="D1" s="8" t="s">
        <v>165</v>
      </c>
      <c r="E1" s="8" t="s">
        <v>160</v>
      </c>
      <c r="F1" s="8" t="s">
        <v>161</v>
      </c>
      <c r="G1" s="8"/>
      <c r="H1" s="8"/>
      <c r="I1" s="8"/>
      <c r="J1" s="8"/>
      <c r="K1" s="8"/>
      <c r="L1" s="8"/>
      <c r="M1" s="8"/>
    </row>
    <row r="2" spans="1:13" ht="15.75" customHeight="1" x14ac:dyDescent="0.2">
      <c r="A2" s="8"/>
      <c r="B2" s="8"/>
      <c r="C2" s="8"/>
      <c r="D2" s="8"/>
      <c r="E2" s="8"/>
      <c r="F2" s="5" t="s">
        <v>178</v>
      </c>
      <c r="G2" s="5" t="s">
        <v>179</v>
      </c>
      <c r="H2" s="5" t="s">
        <v>180</v>
      </c>
      <c r="I2" s="5" t="s">
        <v>181</v>
      </c>
      <c r="J2" s="5" t="s">
        <v>182</v>
      </c>
      <c r="K2" s="5" t="s">
        <v>183</v>
      </c>
      <c r="L2" s="5" t="s">
        <v>184</v>
      </c>
      <c r="M2" s="5" t="s">
        <v>185</v>
      </c>
    </row>
    <row r="3" spans="1:13" ht="15.75" customHeight="1" x14ac:dyDescent="0.2">
      <c r="A3" s="2" t="s">
        <v>166</v>
      </c>
      <c r="B3" s="3" t="s">
        <v>167</v>
      </c>
      <c r="C3" s="3" t="s">
        <v>168</v>
      </c>
      <c r="D3" s="3" t="s">
        <v>169</v>
      </c>
      <c r="E3" s="6">
        <f>LEN(D3)-LEN(SUBSTITUTE(D3," ",""))+1</f>
        <v>79</v>
      </c>
    </row>
    <row r="4" spans="1:13" ht="15.75" customHeight="1" x14ac:dyDescent="0.2">
      <c r="A4" s="2" t="s">
        <v>1</v>
      </c>
      <c r="B4" s="3" t="s">
        <v>2</v>
      </c>
      <c r="C4" s="3" t="s">
        <v>3</v>
      </c>
      <c r="D4" s="3" t="s">
        <v>4</v>
      </c>
      <c r="E4" s="6">
        <f t="shared" ref="E4:E59" si="0">LEN(D4)-LEN(SUBSTITUTE(D4," ",""))+1</f>
        <v>6</v>
      </c>
    </row>
    <row r="5" spans="1:13" ht="15.75" customHeight="1" x14ac:dyDescent="0.2">
      <c r="A5" s="2" t="s">
        <v>5</v>
      </c>
      <c r="B5" s="3" t="s">
        <v>6</v>
      </c>
      <c r="C5" s="3" t="s">
        <v>0</v>
      </c>
      <c r="D5" s="3" t="s">
        <v>7</v>
      </c>
      <c r="E5" s="6">
        <f t="shared" si="0"/>
        <v>26</v>
      </c>
    </row>
    <row r="6" spans="1:13" ht="15.75" customHeight="1" x14ac:dyDescent="0.2">
      <c r="A6" s="2" t="s">
        <v>8</v>
      </c>
      <c r="B6" s="3" t="s">
        <v>9</v>
      </c>
      <c r="C6" s="3" t="s">
        <v>10</v>
      </c>
      <c r="D6" s="3" t="s">
        <v>11</v>
      </c>
      <c r="E6" s="6">
        <f t="shared" si="0"/>
        <v>3</v>
      </c>
    </row>
    <row r="7" spans="1:13" ht="15.75" customHeight="1" x14ac:dyDescent="0.2">
      <c r="A7" s="2" t="s">
        <v>12</v>
      </c>
      <c r="B7" s="3" t="s">
        <v>13</v>
      </c>
      <c r="C7" s="3" t="s">
        <v>0</v>
      </c>
      <c r="D7" s="3" t="s">
        <v>14</v>
      </c>
      <c r="E7" s="6">
        <f t="shared" si="0"/>
        <v>16</v>
      </c>
    </row>
    <row r="8" spans="1:13" ht="15.75" customHeight="1" x14ac:dyDescent="0.2">
      <c r="A8" s="2" t="s">
        <v>15</v>
      </c>
      <c r="B8" s="3" t="s">
        <v>16</v>
      </c>
      <c r="C8" s="3" t="s">
        <v>17</v>
      </c>
      <c r="D8" s="3" t="s">
        <v>18</v>
      </c>
      <c r="E8" s="6">
        <f t="shared" si="0"/>
        <v>3</v>
      </c>
    </row>
    <row r="9" spans="1:13" ht="15.75" customHeight="1" x14ac:dyDescent="0.2">
      <c r="A9" s="2" t="s">
        <v>19</v>
      </c>
      <c r="B9" s="3" t="s">
        <v>20</v>
      </c>
      <c r="C9" s="3" t="s">
        <v>0</v>
      </c>
      <c r="D9" s="3" t="s">
        <v>176</v>
      </c>
      <c r="E9" s="6">
        <f t="shared" si="0"/>
        <v>335</v>
      </c>
    </row>
    <row r="10" spans="1:13" ht="15.75" customHeight="1" x14ac:dyDescent="0.2">
      <c r="A10" s="2" t="s">
        <v>21</v>
      </c>
      <c r="B10" s="3" t="s">
        <v>22</v>
      </c>
      <c r="C10" s="3" t="s">
        <v>23</v>
      </c>
      <c r="D10" s="3" t="s">
        <v>24</v>
      </c>
      <c r="E10" s="6">
        <f t="shared" si="0"/>
        <v>6</v>
      </c>
    </row>
    <row r="11" spans="1:13" ht="15.75" customHeight="1" x14ac:dyDescent="0.2">
      <c r="A11" s="2" t="s">
        <v>25</v>
      </c>
      <c r="B11" s="3" t="s">
        <v>26</v>
      </c>
      <c r="C11" s="3" t="s">
        <v>0</v>
      </c>
      <c r="D11" s="3" t="s">
        <v>177</v>
      </c>
      <c r="E11" s="6">
        <f t="shared" si="0"/>
        <v>81</v>
      </c>
      <c r="L11" s="1">
        <v>1</v>
      </c>
    </row>
    <row r="12" spans="1:13" ht="15.75" customHeight="1" x14ac:dyDescent="0.2">
      <c r="A12" s="2" t="s">
        <v>27</v>
      </c>
      <c r="B12" s="3" t="s">
        <v>28</v>
      </c>
      <c r="C12" s="3" t="s">
        <v>10</v>
      </c>
      <c r="D12" s="3" t="s">
        <v>29</v>
      </c>
      <c r="E12" s="6">
        <f t="shared" si="0"/>
        <v>3</v>
      </c>
    </row>
    <row r="13" spans="1:13" ht="15.75" customHeight="1" x14ac:dyDescent="0.2">
      <c r="A13" s="2" t="s">
        <v>30</v>
      </c>
      <c r="B13" s="3" t="s">
        <v>31</v>
      </c>
      <c r="C13" s="3" t="s">
        <v>0</v>
      </c>
      <c r="D13" s="3" t="s">
        <v>186</v>
      </c>
      <c r="E13" s="6">
        <f t="shared" si="0"/>
        <v>35</v>
      </c>
      <c r="L13" s="1">
        <v>1</v>
      </c>
    </row>
    <row r="14" spans="1:13" ht="15.75" customHeight="1" x14ac:dyDescent="0.2">
      <c r="A14" s="2" t="s">
        <v>32</v>
      </c>
      <c r="B14" s="3" t="s">
        <v>33</v>
      </c>
      <c r="C14" s="3" t="s">
        <v>34</v>
      </c>
      <c r="D14" s="3" t="s">
        <v>35</v>
      </c>
      <c r="E14" s="6">
        <f t="shared" si="0"/>
        <v>2</v>
      </c>
    </row>
    <row r="15" spans="1:13" ht="15.75" customHeight="1" x14ac:dyDescent="0.2">
      <c r="A15" s="2" t="s">
        <v>36</v>
      </c>
      <c r="B15" s="3" t="s">
        <v>37</v>
      </c>
      <c r="C15" s="3" t="s">
        <v>0</v>
      </c>
      <c r="D15" s="3" t="s">
        <v>187</v>
      </c>
      <c r="E15" s="6">
        <f t="shared" si="0"/>
        <v>70</v>
      </c>
    </row>
    <row r="16" spans="1:13" ht="15.75" customHeight="1" x14ac:dyDescent="0.2">
      <c r="A16" s="2" t="s">
        <v>38</v>
      </c>
      <c r="B16" s="3" t="s">
        <v>39</v>
      </c>
      <c r="C16" s="3" t="s">
        <v>3</v>
      </c>
      <c r="D16" s="3" t="s">
        <v>40</v>
      </c>
      <c r="E16" s="6">
        <f t="shared" si="0"/>
        <v>1</v>
      </c>
    </row>
    <row r="17" spans="1:12" ht="15.75" customHeight="1" x14ac:dyDescent="0.2">
      <c r="A17" s="2" t="s">
        <v>41</v>
      </c>
      <c r="B17" s="3" t="s">
        <v>42</v>
      </c>
      <c r="C17" s="3" t="s">
        <v>0</v>
      </c>
      <c r="D17" s="3" t="s">
        <v>188</v>
      </c>
      <c r="E17" s="6">
        <f t="shared" si="0"/>
        <v>102</v>
      </c>
    </row>
    <row r="18" spans="1:12" ht="15.75" customHeight="1" x14ac:dyDescent="0.2">
      <c r="A18" s="2" t="s">
        <v>43</v>
      </c>
      <c r="B18" s="3" t="s">
        <v>44</v>
      </c>
      <c r="C18" s="3" t="s">
        <v>45</v>
      </c>
      <c r="D18" s="3" t="s">
        <v>46</v>
      </c>
      <c r="E18" s="6">
        <f t="shared" si="0"/>
        <v>3</v>
      </c>
    </row>
    <row r="19" spans="1:12" ht="15.75" customHeight="1" x14ac:dyDescent="0.2">
      <c r="A19" s="2" t="s">
        <v>47</v>
      </c>
      <c r="B19" s="3" t="s">
        <v>48</v>
      </c>
      <c r="C19" s="3" t="s">
        <v>0</v>
      </c>
      <c r="D19" s="3" t="s">
        <v>49</v>
      </c>
      <c r="E19" s="6">
        <f t="shared" si="0"/>
        <v>11</v>
      </c>
      <c r="L19" s="1">
        <v>1</v>
      </c>
    </row>
    <row r="20" spans="1:12" ht="15.75" customHeight="1" x14ac:dyDescent="0.2">
      <c r="A20" s="2" t="s">
        <v>50</v>
      </c>
      <c r="B20" s="3" t="s">
        <v>51</v>
      </c>
      <c r="C20" s="3" t="s">
        <v>10</v>
      </c>
      <c r="D20" s="3" t="s">
        <v>52</v>
      </c>
      <c r="E20" s="6">
        <f t="shared" si="0"/>
        <v>1</v>
      </c>
    </row>
    <row r="21" spans="1:12" ht="15.75" customHeight="1" x14ac:dyDescent="0.2">
      <c r="A21" s="2" t="s">
        <v>53</v>
      </c>
      <c r="B21" s="3" t="s">
        <v>54</v>
      </c>
      <c r="C21" s="3" t="s">
        <v>0</v>
      </c>
      <c r="D21" s="3" t="s">
        <v>189</v>
      </c>
      <c r="E21" s="6">
        <f t="shared" si="0"/>
        <v>442</v>
      </c>
    </row>
    <row r="22" spans="1:12" ht="15.75" customHeight="1" x14ac:dyDescent="0.2">
      <c r="A22" s="2" t="s">
        <v>55</v>
      </c>
      <c r="B22" s="3" t="s">
        <v>56</v>
      </c>
      <c r="C22" s="3" t="s">
        <v>57</v>
      </c>
      <c r="D22" s="3" t="s">
        <v>58</v>
      </c>
      <c r="E22" s="6">
        <f t="shared" si="0"/>
        <v>2</v>
      </c>
    </row>
    <row r="23" spans="1:12" ht="15.75" customHeight="1" x14ac:dyDescent="0.2">
      <c r="A23" s="2" t="s">
        <v>59</v>
      </c>
      <c r="B23" s="3" t="s">
        <v>60</v>
      </c>
      <c r="C23" s="3" t="s">
        <v>0</v>
      </c>
      <c r="D23" s="3" t="s">
        <v>61</v>
      </c>
      <c r="E23" s="6">
        <f t="shared" si="0"/>
        <v>19</v>
      </c>
    </row>
    <row r="24" spans="1:12" ht="15.75" customHeight="1" x14ac:dyDescent="0.2">
      <c r="A24" s="2" t="s">
        <v>62</v>
      </c>
      <c r="B24" s="3" t="s">
        <v>63</v>
      </c>
      <c r="C24" s="3" t="s">
        <v>57</v>
      </c>
      <c r="D24" s="3" t="s">
        <v>58</v>
      </c>
      <c r="E24" s="6">
        <f t="shared" si="0"/>
        <v>2</v>
      </c>
    </row>
    <row r="25" spans="1:12" ht="15.75" customHeight="1" x14ac:dyDescent="0.2">
      <c r="A25" s="2" t="s">
        <v>64</v>
      </c>
      <c r="B25" s="3" t="s">
        <v>65</v>
      </c>
      <c r="C25" s="3" t="s">
        <v>0</v>
      </c>
      <c r="D25" s="3" t="s">
        <v>190</v>
      </c>
      <c r="E25" s="6">
        <f t="shared" si="0"/>
        <v>62</v>
      </c>
    </row>
    <row r="26" spans="1:12" ht="15.75" customHeight="1" x14ac:dyDescent="0.2">
      <c r="A26" s="2" t="s">
        <v>66</v>
      </c>
      <c r="B26" s="3" t="s">
        <v>67</v>
      </c>
      <c r="C26" s="3" t="s">
        <v>57</v>
      </c>
      <c r="D26" s="3" t="s">
        <v>58</v>
      </c>
      <c r="E26" s="6">
        <f t="shared" si="0"/>
        <v>2</v>
      </c>
    </row>
    <row r="27" spans="1:12" ht="15.75" customHeight="1" x14ac:dyDescent="0.2">
      <c r="A27" s="2" t="s">
        <v>68</v>
      </c>
      <c r="B27" s="3" t="s">
        <v>69</v>
      </c>
      <c r="C27" s="3" t="s">
        <v>0</v>
      </c>
      <c r="D27" s="3" t="s">
        <v>191</v>
      </c>
      <c r="E27" s="6">
        <f t="shared" si="0"/>
        <v>337</v>
      </c>
    </row>
    <row r="28" spans="1:12" ht="15.75" customHeight="1" x14ac:dyDescent="0.2">
      <c r="A28" s="2" t="s">
        <v>70</v>
      </c>
      <c r="B28" s="3" t="s">
        <v>71</v>
      </c>
      <c r="C28" s="3" t="s">
        <v>10</v>
      </c>
      <c r="D28" s="3" t="s">
        <v>72</v>
      </c>
      <c r="E28" s="6">
        <f t="shared" si="0"/>
        <v>5</v>
      </c>
    </row>
    <row r="29" spans="1:12" ht="15.75" customHeight="1" x14ac:dyDescent="0.2">
      <c r="A29" s="2" t="s">
        <v>73</v>
      </c>
      <c r="B29" s="3" t="s">
        <v>74</v>
      </c>
      <c r="C29" s="3" t="s">
        <v>0</v>
      </c>
      <c r="D29" s="3" t="s">
        <v>75</v>
      </c>
      <c r="E29" s="6">
        <f t="shared" si="0"/>
        <v>20</v>
      </c>
      <c r="F29" s="1">
        <v>1</v>
      </c>
    </row>
    <row r="30" spans="1:12" ht="15.75" customHeight="1" x14ac:dyDescent="0.2">
      <c r="A30" s="2" t="s">
        <v>76</v>
      </c>
      <c r="B30" s="3" t="s">
        <v>77</v>
      </c>
      <c r="C30" s="3" t="s">
        <v>10</v>
      </c>
      <c r="D30" s="3" t="s">
        <v>78</v>
      </c>
      <c r="E30" s="6">
        <f t="shared" si="0"/>
        <v>1</v>
      </c>
    </row>
    <row r="31" spans="1:12" ht="15.75" customHeight="1" x14ac:dyDescent="0.2">
      <c r="A31" s="2" t="s">
        <v>79</v>
      </c>
      <c r="B31" s="3" t="s">
        <v>80</v>
      </c>
      <c r="C31" s="3" t="s">
        <v>0</v>
      </c>
      <c r="D31" s="3" t="s">
        <v>81</v>
      </c>
      <c r="E31" s="6">
        <f t="shared" si="0"/>
        <v>4</v>
      </c>
      <c r="F31" s="1">
        <v>1</v>
      </c>
    </row>
    <row r="32" spans="1:12" ht="15.75" customHeight="1" x14ac:dyDescent="0.2">
      <c r="A32" s="2" t="s">
        <v>82</v>
      </c>
      <c r="B32" s="3" t="s">
        <v>83</v>
      </c>
      <c r="C32" s="3" t="s">
        <v>10</v>
      </c>
      <c r="D32" s="3" t="s">
        <v>84</v>
      </c>
      <c r="E32" s="6">
        <f t="shared" si="0"/>
        <v>3</v>
      </c>
    </row>
    <row r="33" spans="1:7" ht="15.75" customHeight="1" x14ac:dyDescent="0.2">
      <c r="A33" s="2" t="s">
        <v>85</v>
      </c>
      <c r="B33" s="3" t="s">
        <v>86</v>
      </c>
      <c r="C33" s="3" t="s">
        <v>0</v>
      </c>
      <c r="D33" s="3" t="s">
        <v>197</v>
      </c>
      <c r="E33" s="6">
        <f t="shared" si="0"/>
        <v>36</v>
      </c>
      <c r="F33" s="1">
        <v>1</v>
      </c>
    </row>
    <row r="34" spans="1:7" ht="15.75" customHeight="1" x14ac:dyDescent="0.2">
      <c r="A34" s="2" t="s">
        <v>87</v>
      </c>
      <c r="B34" s="3" t="s">
        <v>88</v>
      </c>
      <c r="C34" s="3" t="s">
        <v>10</v>
      </c>
      <c r="D34" s="3" t="s">
        <v>89</v>
      </c>
      <c r="E34" s="6">
        <f t="shared" si="0"/>
        <v>11</v>
      </c>
    </row>
    <row r="35" spans="1:7" ht="15.75" customHeight="1" x14ac:dyDescent="0.2">
      <c r="A35" s="2" t="s">
        <v>90</v>
      </c>
      <c r="B35" s="3" t="s">
        <v>91</v>
      </c>
      <c r="C35" s="3" t="s">
        <v>0</v>
      </c>
      <c r="D35" s="3" t="s">
        <v>192</v>
      </c>
      <c r="E35" s="6">
        <f t="shared" si="0"/>
        <v>28</v>
      </c>
      <c r="G35" s="1">
        <v>1</v>
      </c>
    </row>
    <row r="36" spans="1:7" ht="15.75" customHeight="1" x14ac:dyDescent="0.2">
      <c r="A36" s="2" t="s">
        <v>92</v>
      </c>
      <c r="B36" s="3" t="s">
        <v>93</v>
      </c>
      <c r="C36" s="3" t="s">
        <v>10</v>
      </c>
      <c r="D36" s="3" t="s">
        <v>94</v>
      </c>
      <c r="E36" s="6">
        <f t="shared" si="0"/>
        <v>16</v>
      </c>
    </row>
    <row r="37" spans="1:7" ht="15.75" customHeight="1" x14ac:dyDescent="0.2">
      <c r="A37" s="2" t="s">
        <v>95</v>
      </c>
      <c r="B37" s="3" t="s">
        <v>96</v>
      </c>
      <c r="C37" s="3" t="s">
        <v>0</v>
      </c>
      <c r="D37" s="3" t="s">
        <v>193</v>
      </c>
      <c r="E37" s="6">
        <f t="shared" si="0"/>
        <v>204</v>
      </c>
    </row>
    <row r="38" spans="1:7" ht="15.75" customHeight="1" x14ac:dyDescent="0.2">
      <c r="A38" s="2" t="s">
        <v>97</v>
      </c>
      <c r="B38" s="3" t="s">
        <v>98</v>
      </c>
      <c r="C38" s="3" t="s">
        <v>10</v>
      </c>
      <c r="D38" s="3" t="s">
        <v>99</v>
      </c>
      <c r="E38" s="6">
        <f t="shared" si="0"/>
        <v>1</v>
      </c>
    </row>
    <row r="39" spans="1:7" ht="15.75" customHeight="1" x14ac:dyDescent="0.2">
      <c r="A39" s="2" t="s">
        <v>100</v>
      </c>
      <c r="B39" s="3" t="s">
        <v>101</v>
      </c>
      <c r="C39" s="3" t="s">
        <v>0</v>
      </c>
      <c r="D39" s="3" t="s">
        <v>102</v>
      </c>
      <c r="E39" s="6">
        <f t="shared" si="0"/>
        <v>5</v>
      </c>
      <c r="F39" s="1">
        <v>1</v>
      </c>
    </row>
    <row r="40" spans="1:7" ht="15.75" customHeight="1" x14ac:dyDescent="0.2">
      <c r="A40" s="2" t="s">
        <v>103</v>
      </c>
      <c r="B40" s="3" t="s">
        <v>104</v>
      </c>
      <c r="C40" s="3" t="s">
        <v>10</v>
      </c>
      <c r="D40" s="3" t="s">
        <v>105</v>
      </c>
      <c r="E40" s="6">
        <f t="shared" si="0"/>
        <v>3</v>
      </c>
    </row>
    <row r="41" spans="1:7" ht="15.75" customHeight="1" x14ac:dyDescent="0.2">
      <c r="A41" s="2" t="s">
        <v>106</v>
      </c>
      <c r="B41" s="3" t="s">
        <v>107</v>
      </c>
      <c r="C41" s="3" t="s">
        <v>0</v>
      </c>
      <c r="D41" s="3" t="s">
        <v>194</v>
      </c>
      <c r="E41" s="6">
        <f t="shared" si="0"/>
        <v>70</v>
      </c>
    </row>
    <row r="42" spans="1:7" ht="15.75" customHeight="1" x14ac:dyDescent="0.2">
      <c r="A42" s="2" t="s">
        <v>108</v>
      </c>
      <c r="B42" s="3" t="s">
        <v>109</v>
      </c>
      <c r="C42" s="3" t="s">
        <v>3</v>
      </c>
      <c r="D42" s="3" t="s">
        <v>110</v>
      </c>
      <c r="E42" s="6">
        <f t="shared" si="0"/>
        <v>10</v>
      </c>
    </row>
    <row r="43" spans="1:7" ht="15.75" customHeight="1" x14ac:dyDescent="0.2">
      <c r="A43" s="2" t="s">
        <v>111</v>
      </c>
      <c r="B43" s="3" t="s">
        <v>112</v>
      </c>
      <c r="C43" s="3" t="s">
        <v>0</v>
      </c>
      <c r="D43" s="3" t="s">
        <v>195</v>
      </c>
      <c r="E43" s="6">
        <f t="shared" si="0"/>
        <v>315</v>
      </c>
    </row>
    <row r="44" spans="1:7" ht="15.75" customHeight="1" x14ac:dyDescent="0.2">
      <c r="A44" s="2" t="s">
        <v>113</v>
      </c>
      <c r="B44" s="3" t="s">
        <v>114</v>
      </c>
      <c r="C44" s="3" t="s">
        <v>57</v>
      </c>
      <c r="D44" s="3" t="s">
        <v>115</v>
      </c>
      <c r="E44" s="6">
        <f t="shared" si="0"/>
        <v>3</v>
      </c>
    </row>
    <row r="45" spans="1:7" ht="15.75" customHeight="1" x14ac:dyDescent="0.2">
      <c r="A45" s="2" t="s">
        <v>116</v>
      </c>
      <c r="B45" s="3" t="s">
        <v>117</v>
      </c>
      <c r="C45" s="3" t="s">
        <v>0</v>
      </c>
      <c r="D45" s="3" t="s">
        <v>118</v>
      </c>
      <c r="E45" s="6">
        <f t="shared" si="0"/>
        <v>3</v>
      </c>
    </row>
    <row r="46" spans="1:7" ht="15.75" customHeight="1" x14ac:dyDescent="0.2">
      <c r="A46" s="2" t="s">
        <v>119</v>
      </c>
      <c r="B46" s="3" t="s">
        <v>120</v>
      </c>
      <c r="C46" s="3" t="s">
        <v>57</v>
      </c>
      <c r="D46" s="3" t="s">
        <v>121</v>
      </c>
      <c r="E46" s="6">
        <f t="shared" si="0"/>
        <v>3</v>
      </c>
    </row>
    <row r="47" spans="1:7" ht="15.75" customHeight="1" x14ac:dyDescent="0.2">
      <c r="A47" s="2" t="s">
        <v>122</v>
      </c>
      <c r="B47" s="3" t="s">
        <v>123</v>
      </c>
      <c r="C47" s="3" t="s">
        <v>0</v>
      </c>
      <c r="D47" s="3" t="s">
        <v>124</v>
      </c>
      <c r="E47" s="6">
        <f t="shared" si="0"/>
        <v>3</v>
      </c>
    </row>
    <row r="48" spans="1:7" ht="15.75" customHeight="1" x14ac:dyDescent="0.2">
      <c r="A48" s="2" t="s">
        <v>125</v>
      </c>
      <c r="B48" s="3" t="s">
        <v>126</v>
      </c>
      <c r="C48" s="3" t="s">
        <v>57</v>
      </c>
      <c r="D48" s="3" t="s">
        <v>127</v>
      </c>
      <c r="E48" s="6">
        <f t="shared" si="0"/>
        <v>3</v>
      </c>
    </row>
    <row r="49" spans="1:13" ht="15.75" customHeight="1" x14ac:dyDescent="0.2">
      <c r="A49" s="2" t="s">
        <v>128</v>
      </c>
      <c r="B49" s="3" t="s">
        <v>129</v>
      </c>
      <c r="C49" s="3" t="s">
        <v>0</v>
      </c>
      <c r="D49" s="3" t="s">
        <v>130</v>
      </c>
      <c r="E49" s="6">
        <f t="shared" si="0"/>
        <v>3</v>
      </c>
    </row>
    <row r="50" spans="1:13" ht="15.75" customHeight="1" x14ac:dyDescent="0.2">
      <c r="A50" s="2" t="s">
        <v>131</v>
      </c>
      <c r="B50" s="3" t="s">
        <v>132</v>
      </c>
      <c r="C50" s="3" t="s">
        <v>57</v>
      </c>
      <c r="D50" s="3" t="s">
        <v>133</v>
      </c>
      <c r="E50" s="6">
        <f t="shared" si="0"/>
        <v>3</v>
      </c>
    </row>
    <row r="51" spans="1:13" ht="15.75" customHeight="1" x14ac:dyDescent="0.2">
      <c r="A51" s="2" t="s">
        <v>134</v>
      </c>
      <c r="B51" s="3" t="s">
        <v>135</v>
      </c>
      <c r="C51" s="3" t="s">
        <v>0</v>
      </c>
      <c r="D51" s="3" t="s">
        <v>136</v>
      </c>
      <c r="E51" s="6">
        <f t="shared" si="0"/>
        <v>3</v>
      </c>
    </row>
    <row r="52" spans="1:13" ht="15.75" customHeight="1" x14ac:dyDescent="0.2">
      <c r="A52" s="2" t="s">
        <v>137</v>
      </c>
      <c r="B52" s="3" t="s">
        <v>138</v>
      </c>
      <c r="C52" s="3" t="s">
        <v>57</v>
      </c>
      <c r="D52" s="3" t="s">
        <v>139</v>
      </c>
      <c r="E52" s="6">
        <f t="shared" si="0"/>
        <v>3</v>
      </c>
    </row>
    <row r="53" spans="1:13" ht="15.75" customHeight="1" x14ac:dyDescent="0.2">
      <c r="A53" s="2" t="s">
        <v>140</v>
      </c>
      <c r="B53" s="3" t="s">
        <v>141</v>
      </c>
      <c r="C53" s="3" t="s">
        <v>0</v>
      </c>
      <c r="D53" s="3" t="s">
        <v>196</v>
      </c>
      <c r="E53" s="6">
        <f t="shared" si="0"/>
        <v>24</v>
      </c>
    </row>
    <row r="54" spans="1:13" ht="15.75" customHeight="1" x14ac:dyDescent="0.2">
      <c r="A54" s="2" t="s">
        <v>142</v>
      </c>
      <c r="B54" s="3" t="s">
        <v>143</v>
      </c>
      <c r="C54" s="3" t="s">
        <v>57</v>
      </c>
      <c r="D54" s="3" t="s">
        <v>144</v>
      </c>
      <c r="E54" s="6">
        <f t="shared" si="0"/>
        <v>5</v>
      </c>
    </row>
    <row r="55" spans="1:13" ht="15.75" customHeight="1" x14ac:dyDescent="0.2">
      <c r="A55" s="2" t="s">
        <v>145</v>
      </c>
      <c r="B55" s="3" t="s">
        <v>146</v>
      </c>
      <c r="C55" s="3" t="s">
        <v>0</v>
      </c>
      <c r="D55" s="3" t="s">
        <v>147</v>
      </c>
      <c r="E55" s="6">
        <f t="shared" si="0"/>
        <v>12</v>
      </c>
    </row>
    <row r="56" spans="1:13" ht="15.75" customHeight="1" x14ac:dyDescent="0.2">
      <c r="A56" s="2" t="s">
        <v>148</v>
      </c>
      <c r="B56" s="3" t="s">
        <v>149</v>
      </c>
      <c r="C56" s="3" t="s">
        <v>57</v>
      </c>
      <c r="D56" s="3" t="s">
        <v>150</v>
      </c>
      <c r="E56" s="6">
        <f t="shared" si="0"/>
        <v>3</v>
      </c>
    </row>
    <row r="57" spans="1:13" ht="15.75" customHeight="1" x14ac:dyDescent="0.2">
      <c r="A57" s="2" t="s">
        <v>151</v>
      </c>
      <c r="B57" s="3" t="s">
        <v>152</v>
      </c>
      <c r="C57" s="3" t="s">
        <v>0</v>
      </c>
      <c r="D57" s="3" t="s">
        <v>153</v>
      </c>
      <c r="E57" s="6">
        <f t="shared" si="0"/>
        <v>5</v>
      </c>
    </row>
    <row r="58" spans="1:13" ht="15.75" customHeight="1" x14ac:dyDescent="0.2">
      <c r="A58" s="2" t="s">
        <v>154</v>
      </c>
      <c r="B58" s="3" t="s">
        <v>155</v>
      </c>
      <c r="C58" s="3" t="s">
        <v>57</v>
      </c>
      <c r="D58" s="3" t="s">
        <v>156</v>
      </c>
      <c r="E58" s="6">
        <f t="shared" si="0"/>
        <v>3</v>
      </c>
    </row>
    <row r="59" spans="1:13" ht="15.75" customHeight="1" x14ac:dyDescent="0.2">
      <c r="A59" s="2" t="s">
        <v>157</v>
      </c>
      <c r="B59" s="3" t="s">
        <v>158</v>
      </c>
      <c r="C59" s="3" t="s">
        <v>0</v>
      </c>
      <c r="D59" s="4" t="s">
        <v>159</v>
      </c>
      <c r="E59" s="6">
        <f t="shared" si="0"/>
        <v>27</v>
      </c>
    </row>
    <row r="62" spans="1:13" ht="14.5" customHeight="1" x14ac:dyDescent="0.2">
      <c r="D62" s="6" t="s">
        <v>170</v>
      </c>
      <c r="E62" s="7">
        <f>SUM(E3:E59)</f>
        <v>2487</v>
      </c>
      <c r="F62" s="7">
        <f t="shared" ref="F62:M62" si="1">SUM(F3:F59)</f>
        <v>4</v>
      </c>
      <c r="G62" s="7">
        <f t="shared" si="1"/>
        <v>1</v>
      </c>
      <c r="H62" s="7">
        <f t="shared" si="1"/>
        <v>0</v>
      </c>
      <c r="I62" s="7">
        <f t="shared" si="1"/>
        <v>0</v>
      </c>
      <c r="J62" s="7">
        <f t="shared" si="1"/>
        <v>0</v>
      </c>
      <c r="K62" s="7">
        <f t="shared" si="1"/>
        <v>0</v>
      </c>
      <c r="L62" s="7">
        <f t="shared" si="1"/>
        <v>3</v>
      </c>
      <c r="M62" s="7">
        <f t="shared" si="1"/>
        <v>0</v>
      </c>
    </row>
    <row r="63" spans="1:13" ht="14.5" customHeight="1" x14ac:dyDescent="0.2">
      <c r="D63" s="7" t="s">
        <v>171</v>
      </c>
      <c r="E63" s="7">
        <f>SUMIF(C3:C59, "Teacher", E3:E59)</f>
        <v>2377</v>
      </c>
    </row>
    <row r="64" spans="1:13" ht="14.5" customHeight="1" x14ac:dyDescent="0.2">
      <c r="D64" s="7" t="s">
        <v>172</v>
      </c>
      <c r="E64" s="7">
        <f>E62-E63</f>
        <v>110</v>
      </c>
    </row>
    <row r="65" spans="4:5" ht="14.5" customHeight="1" x14ac:dyDescent="0.2">
      <c r="D65" s="7" t="s">
        <v>173</v>
      </c>
      <c r="E65" s="7">
        <v>57</v>
      </c>
    </row>
    <row r="66" spans="4:5" ht="14.5" customHeight="1" x14ac:dyDescent="0.2">
      <c r="D66" s="7" t="s">
        <v>174</v>
      </c>
      <c r="E66" s="7">
        <f>COUNTIF(C3:C59, "Teacher")</f>
        <v>29</v>
      </c>
    </row>
    <row r="67" spans="4:5" ht="14.5" customHeight="1" x14ac:dyDescent="0.2">
      <c r="D67" s="7" t="s">
        <v>175</v>
      </c>
      <c r="E67" s="7">
        <f>E65-E66</f>
        <v>28</v>
      </c>
    </row>
  </sheetData>
  <mergeCells count="6">
    <mergeCell ref="F1:M1"/>
    <mergeCell ref="A1:A2"/>
    <mergeCell ref="B1:B2"/>
    <mergeCell ref="C1:C2"/>
    <mergeCell ref="D1:D2"/>
    <mergeCell ref="E1:E2"/>
  </mergeCells>
  <phoneticPr fontId="1" type="noConversion"/>
  <pageMargins left="0.7" right="0.7" top="0.75" bottom="0.75" header="0.3" footer="0.3"/>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SubtitleContentTmpl-72724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susan zhou</cp:lastModifiedBy>
  <dcterms:created xsi:type="dcterms:W3CDTF">2026-05-20T01:26:45Z</dcterms:created>
  <dcterms:modified xsi:type="dcterms:W3CDTF">2026-05-22T03:17:27Z</dcterms:modified>
</cp:coreProperties>
</file>